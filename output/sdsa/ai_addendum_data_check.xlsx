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post/debt_sustainability_project/output/sdsa/"/>
    </mc:Choice>
  </mc:AlternateContent>
  <xr:revisionPtr revIDLastSave="0" documentId="13_ncr:1_{4C387112-4271-E14E-85D4-00BBB481B39D}" xr6:coauthVersionLast="47" xr6:coauthVersionMax="47" xr10:uidLastSave="{00000000-0000-0000-0000-000000000000}"/>
  <bookViews>
    <workbookView xWindow="-240" yWindow="760" windowWidth="30240" windowHeight="18880" xr2:uid="{178F8C1E-13F4-E749-95A5-E9775CEAC87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F13" i="1"/>
  <c r="G13" i="1"/>
  <c r="H13" i="1"/>
  <c r="I13" i="1"/>
  <c r="J13" i="1"/>
  <c r="K13" i="1"/>
  <c r="L13" i="1"/>
  <c r="M13" i="1"/>
  <c r="D13" i="1"/>
  <c r="C13" i="1"/>
  <c r="D7" i="1"/>
  <c r="E7" i="1"/>
  <c r="F7" i="1"/>
  <c r="G7" i="1"/>
  <c r="G10" i="1" s="1"/>
  <c r="H7" i="1"/>
  <c r="I7" i="1"/>
  <c r="I10" i="1" s="1"/>
  <c r="J7" i="1"/>
  <c r="J10" i="1" s="1"/>
  <c r="K7" i="1"/>
  <c r="K10" i="1" s="1"/>
  <c r="L7" i="1"/>
  <c r="L10" i="1" s="1"/>
  <c r="M7" i="1"/>
  <c r="M10" i="1" s="1"/>
  <c r="C7" i="1"/>
  <c r="C10" i="1" s="1"/>
  <c r="H10" i="1"/>
  <c r="B10" i="1"/>
  <c r="D10" i="1"/>
  <c r="E10" i="1"/>
  <c r="F10" i="1"/>
</calcChain>
</file>

<file path=xl/sharedStrings.xml><?xml version="1.0" encoding="utf-8"?>
<sst xmlns="http://schemas.openxmlformats.org/spreadsheetml/2006/main" count="26" uniqueCount="15">
  <si>
    <t>n.a.</t>
  </si>
  <si>
    <t>Baseline Productivity Growth</t>
  </si>
  <si>
    <t>AI Productivity Growth</t>
  </si>
  <si>
    <t>Change in net interest outlays</t>
  </si>
  <si>
    <t>Change in primary deficit</t>
  </si>
  <si>
    <t>Increase (-) or decrease in deficit</t>
  </si>
  <si>
    <t>%</t>
  </si>
  <si>
    <t>billions of $</t>
  </si>
  <si>
    <t>Change in revenues</t>
  </si>
  <si>
    <t>Unit</t>
  </si>
  <si>
    <t>AI Real GDP Growth</t>
  </si>
  <si>
    <t>AI Real GDP</t>
  </si>
  <si>
    <t>Baseline primary deficit (post-OBBBA)</t>
  </si>
  <si>
    <t>AI primary deficit</t>
  </si>
  <si>
    <t>% of GDP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</si>
</sst>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name val="Arial"/>
      <family val="2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rgb="FF000000"/>
      <name val="Times New Roman"/>
      <family val="1"/>
    </font>
    <font>
      <sz val="14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0" fontId="2" fillId="0" borderId="0" xfId="0" applyFont="1" applyAlignment="1">
      <alignment horizontal="left" vertical="center"/>
    </xf>
    <xf numFmtId="1" fontId="3" fillId="0" borderId="1" xfId="1" applyNumberFormat="1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3" fontId="5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/>
    </xf>
    <xf numFmtId="3" fontId="5" fillId="0" borderId="0" xfId="0" applyNumberFormat="1" applyFont="1" applyAlignment="1">
      <alignment horizontal="left"/>
    </xf>
  </cellXfs>
  <cellStyles count="2">
    <cellStyle name="Normal" xfId="0" builtinId="0"/>
    <cellStyle name="Normal 2" xfId="1" xr:uid="{43C8BCE2-BC1B-6C47-8265-279B6A2E7FF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60A06-5FFB-474A-8672-33A0FA63FD17}">
  <dimension ref="A1:O13"/>
  <sheetViews>
    <sheetView tabSelected="1" workbookViewId="0">
      <selection activeCell="D10" sqref="D10"/>
    </sheetView>
  </sheetViews>
  <sheetFormatPr baseColWidth="10" defaultRowHeight="18" x14ac:dyDescent="0.2"/>
  <cols>
    <col min="1" max="1" width="39.5" style="6" bestFit="1" customWidth="1"/>
    <col min="2" max="13" width="10.83203125" style="6"/>
    <col min="14" max="14" width="16" style="6" bestFit="1" customWidth="1"/>
    <col min="15" max="16384" width="10.83203125" style="6"/>
  </cols>
  <sheetData>
    <row r="1" spans="1:15" x14ac:dyDescent="0.2">
      <c r="A1" s="1"/>
      <c r="B1" s="2">
        <v>2024</v>
      </c>
      <c r="C1" s="2">
        <v>2025</v>
      </c>
      <c r="D1" s="2">
        <v>2026</v>
      </c>
      <c r="E1" s="2">
        <v>2027</v>
      </c>
      <c r="F1" s="2">
        <v>2028</v>
      </c>
      <c r="G1" s="2">
        <v>2029</v>
      </c>
      <c r="H1" s="2">
        <v>2030</v>
      </c>
      <c r="I1" s="2">
        <v>2031</v>
      </c>
      <c r="J1" s="2">
        <v>2032</v>
      </c>
      <c r="K1" s="2">
        <v>2033</v>
      </c>
      <c r="L1" s="2">
        <v>2034</v>
      </c>
      <c r="M1" s="2">
        <v>2035</v>
      </c>
      <c r="N1" s="3" t="s">
        <v>9</v>
      </c>
    </row>
    <row r="2" spans="1:15" x14ac:dyDescent="0.2">
      <c r="A2" s="1" t="s">
        <v>1</v>
      </c>
      <c r="B2" s="1">
        <v>0.98</v>
      </c>
      <c r="C2" s="1">
        <v>0.98299999999999998</v>
      </c>
      <c r="D2" s="1">
        <v>1.0149999999999999</v>
      </c>
      <c r="E2" s="1">
        <v>1.0580000000000001</v>
      </c>
      <c r="F2" s="1">
        <v>1.105</v>
      </c>
      <c r="G2" s="1">
        <v>1.129</v>
      </c>
      <c r="H2" s="1">
        <v>1.1259999999999999</v>
      </c>
      <c r="I2" s="1">
        <v>1.125</v>
      </c>
      <c r="J2" s="1">
        <v>1.121</v>
      </c>
      <c r="K2" s="1">
        <v>1.1160000000000001</v>
      </c>
      <c r="L2" s="1">
        <v>1.1140000000000001</v>
      </c>
      <c r="M2" s="1">
        <v>1.1120000000000001</v>
      </c>
      <c r="N2" s="1" t="s">
        <v>6</v>
      </c>
    </row>
    <row r="3" spans="1:15" x14ac:dyDescent="0.2">
      <c r="A3" s="1" t="s">
        <v>2</v>
      </c>
      <c r="B3" s="1">
        <v>0.98</v>
      </c>
      <c r="C3" s="1">
        <v>0.98299999999999998</v>
      </c>
      <c r="D3" s="1">
        <v>1.115</v>
      </c>
      <c r="E3" s="1">
        <v>1.258</v>
      </c>
      <c r="F3" s="1">
        <v>1.405</v>
      </c>
      <c r="G3" s="1">
        <v>1.5289999999999999</v>
      </c>
      <c r="H3" s="1">
        <v>1.6259999999999999</v>
      </c>
      <c r="I3" s="1">
        <v>1.625</v>
      </c>
      <c r="J3" s="1">
        <v>1.621</v>
      </c>
      <c r="K3" s="1">
        <v>1.6160000000000001</v>
      </c>
      <c r="L3" s="1">
        <v>1.6140000000000001</v>
      </c>
      <c r="M3" s="1">
        <v>1.6120000000000001</v>
      </c>
      <c r="N3" s="1" t="s">
        <v>6</v>
      </c>
    </row>
    <row r="4" spans="1:15" x14ac:dyDescent="0.2">
      <c r="A4" s="1" t="s">
        <v>8</v>
      </c>
      <c r="B4" s="1" t="s">
        <v>0</v>
      </c>
      <c r="C4" s="1">
        <v>0</v>
      </c>
      <c r="D4" s="1">
        <v>4.6920000000000002</v>
      </c>
      <c r="E4" s="1">
        <v>16.899000000000001</v>
      </c>
      <c r="F4" s="1">
        <v>37.689</v>
      </c>
      <c r="G4" s="1">
        <v>68.355000000000004</v>
      </c>
      <c r="H4" s="1">
        <v>110.40300000000001</v>
      </c>
      <c r="I4" s="1">
        <v>159.16900000000001</v>
      </c>
      <c r="J4" s="1">
        <v>213.49799999999999</v>
      </c>
      <c r="K4" s="1">
        <v>273.26</v>
      </c>
      <c r="L4" s="1">
        <v>338.73399999999998</v>
      </c>
      <c r="M4" s="1">
        <v>411.03800000000001</v>
      </c>
      <c r="N4" s="1" t="s">
        <v>7</v>
      </c>
    </row>
    <row r="5" spans="1:15" x14ac:dyDescent="0.2">
      <c r="A5" s="1" t="s">
        <v>3</v>
      </c>
      <c r="B5" s="4" t="s">
        <v>0</v>
      </c>
      <c r="C5" s="5">
        <v>0</v>
      </c>
      <c r="D5" s="5">
        <v>1</v>
      </c>
      <c r="E5" s="5">
        <v>3</v>
      </c>
      <c r="F5" s="5">
        <v>7</v>
      </c>
      <c r="G5" s="5">
        <v>14</v>
      </c>
      <c r="H5" s="5">
        <v>25</v>
      </c>
      <c r="I5" s="5">
        <v>38</v>
      </c>
      <c r="J5" s="5">
        <v>53</v>
      </c>
      <c r="K5" s="5">
        <v>70</v>
      </c>
      <c r="L5" s="5">
        <v>88</v>
      </c>
      <c r="M5" s="5">
        <v>107</v>
      </c>
      <c r="N5" s="5" t="s">
        <v>7</v>
      </c>
      <c r="O5" s="7"/>
    </row>
    <row r="6" spans="1:15" x14ac:dyDescent="0.2">
      <c r="A6" s="1" t="s">
        <v>5</v>
      </c>
      <c r="B6" s="1" t="s">
        <v>0</v>
      </c>
      <c r="C6" s="1">
        <v>0</v>
      </c>
      <c r="D6" s="1">
        <v>3.831</v>
      </c>
      <c r="E6" s="1">
        <v>13.07</v>
      </c>
      <c r="F6" s="1">
        <v>27.82</v>
      </c>
      <c r="G6" s="1">
        <v>49.501000000000005</v>
      </c>
      <c r="H6" s="1">
        <v>78.004999999999995</v>
      </c>
      <c r="I6" s="1">
        <v>109.77200000000001</v>
      </c>
      <c r="J6" s="1">
        <v>144.11599999999999</v>
      </c>
      <c r="K6" s="1">
        <v>181.72499999999999</v>
      </c>
      <c r="L6" s="1">
        <v>223.16999999999996</v>
      </c>
      <c r="M6" s="1">
        <v>269.58300000000003</v>
      </c>
      <c r="N6" s="1" t="s">
        <v>7</v>
      </c>
    </row>
    <row r="7" spans="1:15" x14ac:dyDescent="0.2">
      <c r="A7" s="1" t="s">
        <v>4</v>
      </c>
      <c r="B7" s="1"/>
      <c r="C7" s="1">
        <f>(-1*C6)-C5</f>
        <v>0</v>
      </c>
      <c r="D7" s="1">
        <f t="shared" ref="D7:M7" si="0">(-1*D6)-D5</f>
        <v>-4.8309999999999995</v>
      </c>
      <c r="E7" s="1">
        <f t="shared" si="0"/>
        <v>-16.07</v>
      </c>
      <c r="F7" s="1">
        <f t="shared" si="0"/>
        <v>-34.82</v>
      </c>
      <c r="G7" s="1">
        <f t="shared" si="0"/>
        <v>-63.501000000000005</v>
      </c>
      <c r="H7" s="1">
        <f t="shared" si="0"/>
        <v>-103.005</v>
      </c>
      <c r="I7" s="1">
        <f t="shared" si="0"/>
        <v>-147.77199999999999</v>
      </c>
      <c r="J7" s="1">
        <f t="shared" si="0"/>
        <v>-197.11599999999999</v>
      </c>
      <c r="K7" s="1">
        <f t="shared" si="0"/>
        <v>-251.72499999999999</v>
      </c>
      <c r="L7" s="1">
        <f t="shared" si="0"/>
        <v>-311.16999999999996</v>
      </c>
      <c r="M7" s="1">
        <f t="shared" si="0"/>
        <v>-376.58300000000003</v>
      </c>
      <c r="N7" s="1" t="s">
        <v>7</v>
      </c>
    </row>
    <row r="8" spans="1:15" x14ac:dyDescent="0.2">
      <c r="A8" s="6" t="s">
        <v>10</v>
      </c>
      <c r="B8" s="6">
        <v>2.734</v>
      </c>
      <c r="C8" s="6">
        <v>2.125</v>
      </c>
      <c r="D8" s="6">
        <v>1.9379999999999999</v>
      </c>
      <c r="E8" s="6">
        <v>1.988</v>
      </c>
      <c r="F8" s="6">
        <v>2.0880000000000001</v>
      </c>
      <c r="G8" s="6">
        <v>2.25</v>
      </c>
      <c r="H8" s="6">
        <v>2.411</v>
      </c>
      <c r="I8" s="6">
        <v>2.4289999999999998</v>
      </c>
      <c r="J8" s="6">
        <v>2.4660000000000002</v>
      </c>
      <c r="K8" s="6">
        <v>2.4660000000000002</v>
      </c>
      <c r="L8" s="6">
        <v>2.4510000000000001</v>
      </c>
      <c r="M8" s="6">
        <v>2.4279999999999999</v>
      </c>
      <c r="N8" s="6" t="s">
        <v>6</v>
      </c>
    </row>
    <row r="9" spans="1:15" x14ac:dyDescent="0.2">
      <c r="A9" s="6" t="s">
        <v>11</v>
      </c>
      <c r="B9" s="6">
        <v>23290.9</v>
      </c>
      <c r="C9" s="6">
        <v>23785.8</v>
      </c>
      <c r="D9" s="6">
        <v>24246.799999999999</v>
      </c>
      <c r="E9" s="6">
        <v>24728.799999999999</v>
      </c>
      <c r="F9" s="6">
        <v>25245.1</v>
      </c>
      <c r="G9" s="6">
        <v>25813.1</v>
      </c>
      <c r="H9" s="6">
        <v>26435.5</v>
      </c>
      <c r="I9" s="6">
        <v>27077.5</v>
      </c>
      <c r="J9" s="6">
        <v>27745.200000000001</v>
      </c>
      <c r="K9" s="6">
        <v>28429.3</v>
      </c>
      <c r="L9" s="6">
        <v>29126.2</v>
      </c>
      <c r="M9" s="6">
        <v>29833.3</v>
      </c>
      <c r="N9" s="6" t="s">
        <v>7</v>
      </c>
    </row>
    <row r="10" spans="1:15" x14ac:dyDescent="0.2">
      <c r="A10" s="1" t="s">
        <v>4</v>
      </c>
      <c r="B10" s="6">
        <f>(B7/B9) * 100</f>
        <v>0</v>
      </c>
      <c r="C10" s="6">
        <f t="shared" ref="C10:M10" si="1">(C7/C9) * 100</f>
        <v>0</v>
      </c>
      <c r="D10" s="6">
        <f t="shared" si="1"/>
        <v>-1.9924278667700478E-2</v>
      </c>
      <c r="E10" s="6">
        <f t="shared" si="1"/>
        <v>-6.4984956811491051E-2</v>
      </c>
      <c r="F10" s="6">
        <f t="shared" si="1"/>
        <v>-0.13792775627745582</v>
      </c>
      <c r="G10" s="6">
        <f t="shared" si="1"/>
        <v>-0.24600299847751728</v>
      </c>
      <c r="H10" s="6">
        <f t="shared" si="1"/>
        <v>-0.38964649808023299</v>
      </c>
      <c r="I10" s="6">
        <f t="shared" si="1"/>
        <v>-0.54573723571230726</v>
      </c>
      <c r="J10" s="6">
        <f t="shared" si="1"/>
        <v>-0.7104508167178466</v>
      </c>
      <c r="K10" s="6">
        <f t="shared" si="1"/>
        <v>-0.88544213188506227</v>
      </c>
      <c r="L10" s="6">
        <f t="shared" si="1"/>
        <v>-1.0683508318970547</v>
      </c>
      <c r="M10" s="6">
        <f t="shared" si="1"/>
        <v>-1.262290795855638</v>
      </c>
      <c r="N10" s="6" t="s">
        <v>14</v>
      </c>
    </row>
    <row r="12" spans="1:15" x14ac:dyDescent="0.2">
      <c r="A12" s="6" t="s">
        <v>12</v>
      </c>
      <c r="C12" s="6">
        <v>3</v>
      </c>
      <c r="D12" s="6">
        <v>3.8</v>
      </c>
      <c r="E12" s="6">
        <v>3.6</v>
      </c>
      <c r="F12" s="6">
        <v>3.3</v>
      </c>
      <c r="G12" s="6">
        <v>3.6</v>
      </c>
      <c r="H12" s="6">
        <v>3.3</v>
      </c>
      <c r="I12" s="6">
        <v>3.1</v>
      </c>
      <c r="J12" s="6">
        <v>3</v>
      </c>
      <c r="K12" s="6">
        <v>2.9</v>
      </c>
      <c r="L12" s="6">
        <v>3</v>
      </c>
      <c r="M12" s="6">
        <v>2.9</v>
      </c>
      <c r="N12" s="6" t="s">
        <v>14</v>
      </c>
    </row>
    <row r="13" spans="1:15" x14ac:dyDescent="0.2">
      <c r="A13" s="6" t="s">
        <v>13</v>
      </c>
      <c r="C13" s="6">
        <f>B12+B10</f>
        <v>0</v>
      </c>
      <c r="D13" s="6">
        <f>D12+D10</f>
        <v>3.7800757213322993</v>
      </c>
      <c r="E13" s="6">
        <f t="shared" ref="E13:M13" si="2">E12+E10</f>
        <v>3.5350150431885092</v>
      </c>
      <c r="F13" s="6">
        <f t="shared" si="2"/>
        <v>3.1620722437225441</v>
      </c>
      <c r="G13" s="6">
        <f t="shared" si="2"/>
        <v>3.3539970015224827</v>
      </c>
      <c r="H13" s="6">
        <f t="shared" si="2"/>
        <v>2.9103535019197668</v>
      </c>
      <c r="I13" s="6">
        <f t="shared" si="2"/>
        <v>2.5542627642876927</v>
      </c>
      <c r="J13" s="6">
        <f t="shared" si="2"/>
        <v>2.2895491832821535</v>
      </c>
      <c r="K13" s="6">
        <f t="shared" si="2"/>
        <v>2.0145578681149376</v>
      </c>
      <c r="L13" s="6">
        <f t="shared" si="2"/>
        <v>1.9316491681029453</v>
      </c>
      <c r="M13" s="6">
        <f t="shared" si="2"/>
        <v>1.6377092041443619</v>
      </c>
      <c r="N13" s="6" t="s">
        <v>14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Karsten Posthumus</dc:creator>
  <cp:lastModifiedBy>Daniel Karsten Posthumus</cp:lastModifiedBy>
  <dcterms:created xsi:type="dcterms:W3CDTF">2025-11-04T18:12:16Z</dcterms:created>
  <dcterms:modified xsi:type="dcterms:W3CDTF">2025-11-04T18:55:58Z</dcterms:modified>
</cp:coreProperties>
</file>