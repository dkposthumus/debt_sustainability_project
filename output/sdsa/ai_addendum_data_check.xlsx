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post/debt_sustainability_project/output/sdsa/"/>
    </mc:Choice>
  </mc:AlternateContent>
  <xr:revisionPtr revIDLastSave="0" documentId="13_ncr:1_{9F84E857-2C25-234C-BB9B-92EB582F6788}" xr6:coauthVersionLast="47" xr6:coauthVersionMax="47" xr10:uidLastSave="{00000000-0000-0000-0000-000000000000}"/>
  <bookViews>
    <workbookView xWindow="0" yWindow="760" windowWidth="31840" windowHeight="18880" xr2:uid="{178F8C1E-13F4-E749-95A5-E9775CEAC87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F25" i="1"/>
  <c r="G25" i="1"/>
  <c r="G28" i="1" s="1"/>
  <c r="H25" i="1"/>
  <c r="H28" i="1" s="1"/>
  <c r="I25" i="1"/>
  <c r="I28" i="1" s="1"/>
  <c r="J25" i="1"/>
  <c r="J28" i="1" s="1"/>
  <c r="K25" i="1"/>
  <c r="K28" i="1" s="1"/>
  <c r="L25" i="1"/>
  <c r="L28" i="1" s="1"/>
  <c r="M25" i="1"/>
  <c r="M28" i="1" s="1"/>
  <c r="D25" i="1"/>
  <c r="D28" i="1" s="1"/>
  <c r="E28" i="1"/>
  <c r="F28" i="1"/>
  <c r="C28" i="1"/>
  <c r="C14" i="1"/>
  <c r="C25" i="1"/>
  <c r="B25" i="1"/>
  <c r="E22" i="1"/>
  <c r="F22" i="1"/>
  <c r="G22" i="1"/>
  <c r="H22" i="1"/>
  <c r="I22" i="1"/>
  <c r="J22" i="1"/>
  <c r="K22" i="1"/>
  <c r="L22" i="1"/>
  <c r="M22" i="1"/>
  <c r="D22" i="1"/>
  <c r="F14" i="1"/>
  <c r="G14" i="1"/>
  <c r="D8" i="1"/>
  <c r="E8" i="1"/>
  <c r="F8" i="1"/>
  <c r="G8" i="1"/>
  <c r="G11" i="1" s="1"/>
  <c r="H8" i="1"/>
  <c r="H11" i="1" s="1"/>
  <c r="H14" i="1" s="1"/>
  <c r="I8" i="1"/>
  <c r="I11" i="1" s="1"/>
  <c r="I14" i="1" s="1"/>
  <c r="J8" i="1"/>
  <c r="J11" i="1" s="1"/>
  <c r="J14" i="1" s="1"/>
  <c r="K8" i="1"/>
  <c r="K11" i="1" s="1"/>
  <c r="K14" i="1" s="1"/>
  <c r="L8" i="1"/>
  <c r="L11" i="1" s="1"/>
  <c r="L14" i="1" s="1"/>
  <c r="M8" i="1"/>
  <c r="M11" i="1" s="1"/>
  <c r="M14" i="1" s="1"/>
  <c r="C8" i="1"/>
  <c r="C11" i="1" s="1"/>
  <c r="B11" i="1"/>
  <c r="D11" i="1"/>
  <c r="D14" i="1" s="1"/>
  <c r="E11" i="1"/>
  <c r="E14" i="1" s="1"/>
  <c r="F11" i="1"/>
</calcChain>
</file>

<file path=xl/sharedStrings.xml><?xml version="1.0" encoding="utf-8"?>
<sst xmlns="http://schemas.openxmlformats.org/spreadsheetml/2006/main" count="50" uniqueCount="17">
  <si>
    <t>n.a.</t>
  </si>
  <si>
    <t>Baseline Productivity Growth</t>
  </si>
  <si>
    <t>AI Productivity Growth</t>
  </si>
  <si>
    <t>Change in net interest outlays</t>
  </si>
  <si>
    <t>Change in primary deficit</t>
  </si>
  <si>
    <t>Increase (-) or decrease in deficit</t>
  </si>
  <si>
    <t>%</t>
  </si>
  <si>
    <t>billions of $</t>
  </si>
  <si>
    <t>Change in revenues</t>
  </si>
  <si>
    <t>Unit</t>
  </si>
  <si>
    <t>AI Real GDP Growth</t>
  </si>
  <si>
    <t>AI Real GDP</t>
  </si>
  <si>
    <t>Baseline primary deficit (post-OBBBA)</t>
  </si>
  <si>
    <t>AI primary deficit</t>
  </si>
  <si>
    <t>% of GDP</t>
  </si>
  <si>
    <t>0.5 pp productivity boost</t>
  </si>
  <si>
    <t>1 pp productivity 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</si>
</sst>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u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/>
    </xf>
    <xf numFmtId="1" fontId="3" fillId="0" borderId="1" xfId="1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/>
    </xf>
    <xf numFmtId="3" fontId="5" fillId="0" borderId="0" xfId="0" applyNumberFormat="1" applyFont="1" applyAlignment="1">
      <alignment horizontal="left"/>
    </xf>
    <xf numFmtId="1" fontId="3" fillId="0" borderId="0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</cellXfs>
  <cellStyles count="3">
    <cellStyle name="Normal" xfId="0" builtinId="0"/>
    <cellStyle name="Normal 2" xfId="1" xr:uid="{43C8BCE2-BC1B-6C47-8265-279B6A2E7FF3}"/>
    <cellStyle name="Normal 3 2" xfId="2" xr:uid="{3AB59C42-8325-0A41-B448-3160678776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0A06-5FFB-474A-8672-33A0FA63FD17}">
  <dimension ref="A1:O28"/>
  <sheetViews>
    <sheetView tabSelected="1" workbookViewId="0">
      <selection activeCell="E26" sqref="E26"/>
    </sheetView>
  </sheetViews>
  <sheetFormatPr baseColWidth="10" defaultRowHeight="18" x14ac:dyDescent="0.2"/>
  <cols>
    <col min="1" max="1" width="39.5" style="6" bestFit="1" customWidth="1"/>
    <col min="2" max="13" width="10.83203125" style="6"/>
    <col min="14" max="14" width="16" style="6" bestFit="1" customWidth="1"/>
    <col min="15" max="16384" width="10.83203125" style="6"/>
  </cols>
  <sheetData>
    <row r="1" spans="1:15" x14ac:dyDescent="0.2">
      <c r="A1" s="1"/>
      <c r="B1" s="2">
        <v>2024</v>
      </c>
      <c r="C1" s="2">
        <v>2025</v>
      </c>
      <c r="D1" s="2">
        <v>2026</v>
      </c>
      <c r="E1" s="2">
        <v>2027</v>
      </c>
      <c r="F1" s="2">
        <v>2028</v>
      </c>
      <c r="G1" s="2">
        <v>2029</v>
      </c>
      <c r="H1" s="2">
        <v>2030</v>
      </c>
      <c r="I1" s="2">
        <v>2031</v>
      </c>
      <c r="J1" s="2">
        <v>2032</v>
      </c>
      <c r="K1" s="2">
        <v>2033</v>
      </c>
      <c r="L1" s="2">
        <v>2034</v>
      </c>
      <c r="M1" s="2">
        <v>2035</v>
      </c>
      <c r="N1" s="3" t="s">
        <v>9</v>
      </c>
    </row>
    <row r="2" spans="1:15" x14ac:dyDescent="0.2">
      <c r="A2" s="9" t="s">
        <v>15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"/>
    </row>
    <row r="3" spans="1:15" x14ac:dyDescent="0.2">
      <c r="A3" s="1" t="s">
        <v>1</v>
      </c>
      <c r="B3" s="1">
        <v>0.98</v>
      </c>
      <c r="C3" s="1">
        <v>0.98299999999999998</v>
      </c>
      <c r="D3" s="1">
        <v>1.0149999999999999</v>
      </c>
      <c r="E3" s="1">
        <v>1.0580000000000001</v>
      </c>
      <c r="F3" s="1">
        <v>1.105</v>
      </c>
      <c r="G3" s="1">
        <v>1.129</v>
      </c>
      <c r="H3" s="1">
        <v>1.1259999999999999</v>
      </c>
      <c r="I3" s="1">
        <v>1.125</v>
      </c>
      <c r="J3" s="1">
        <v>1.121</v>
      </c>
      <c r="K3" s="1">
        <v>1.1160000000000001</v>
      </c>
      <c r="L3" s="1">
        <v>1.1140000000000001</v>
      </c>
      <c r="M3" s="1">
        <v>1.1120000000000001</v>
      </c>
      <c r="N3" s="1" t="s">
        <v>6</v>
      </c>
    </row>
    <row r="4" spans="1:15" x14ac:dyDescent="0.2">
      <c r="A4" s="1" t="s">
        <v>2</v>
      </c>
      <c r="B4" s="1">
        <v>0.98</v>
      </c>
      <c r="C4" s="1">
        <v>0.98299999999999998</v>
      </c>
      <c r="D4" s="1">
        <v>1.115</v>
      </c>
      <c r="E4" s="1">
        <v>1.258</v>
      </c>
      <c r="F4" s="1">
        <v>1.405</v>
      </c>
      <c r="G4" s="1">
        <v>1.5289999999999999</v>
      </c>
      <c r="H4" s="1">
        <v>1.6259999999999999</v>
      </c>
      <c r="I4" s="1">
        <v>1.625</v>
      </c>
      <c r="J4" s="1">
        <v>1.621</v>
      </c>
      <c r="K4" s="1">
        <v>1.6160000000000001</v>
      </c>
      <c r="L4" s="1">
        <v>1.6140000000000001</v>
      </c>
      <c r="M4" s="1">
        <v>1.6120000000000001</v>
      </c>
      <c r="N4" s="1" t="s">
        <v>6</v>
      </c>
    </row>
    <row r="5" spans="1:15" x14ac:dyDescent="0.2">
      <c r="A5" s="1" t="s">
        <v>8</v>
      </c>
      <c r="B5" s="1" t="s">
        <v>0</v>
      </c>
      <c r="C5" s="1">
        <v>0</v>
      </c>
      <c r="D5" s="1">
        <v>4.6920000000000002</v>
      </c>
      <c r="E5" s="1">
        <v>16.899000000000001</v>
      </c>
      <c r="F5" s="1">
        <v>37.689</v>
      </c>
      <c r="G5" s="1">
        <v>68.355000000000004</v>
      </c>
      <c r="H5" s="1">
        <v>110.40300000000001</v>
      </c>
      <c r="I5" s="1">
        <v>159.16900000000001</v>
      </c>
      <c r="J5" s="1">
        <v>213.49799999999999</v>
      </c>
      <c r="K5" s="1">
        <v>273.26</v>
      </c>
      <c r="L5" s="1">
        <v>338.73399999999998</v>
      </c>
      <c r="M5" s="1">
        <v>411.03800000000001</v>
      </c>
      <c r="N5" s="1" t="s">
        <v>7</v>
      </c>
    </row>
    <row r="6" spans="1:15" x14ac:dyDescent="0.2">
      <c r="A6" s="1" t="s">
        <v>3</v>
      </c>
      <c r="B6" s="4" t="s">
        <v>0</v>
      </c>
      <c r="C6" s="5">
        <v>0</v>
      </c>
      <c r="D6" s="5">
        <v>1</v>
      </c>
      <c r="E6" s="5">
        <v>3</v>
      </c>
      <c r="F6" s="5">
        <v>7</v>
      </c>
      <c r="G6" s="5">
        <v>14</v>
      </c>
      <c r="H6" s="5">
        <v>25</v>
      </c>
      <c r="I6" s="5">
        <v>38</v>
      </c>
      <c r="J6" s="5">
        <v>53</v>
      </c>
      <c r="K6" s="5">
        <v>70</v>
      </c>
      <c r="L6" s="5">
        <v>88</v>
      </c>
      <c r="M6" s="5">
        <v>107</v>
      </c>
      <c r="N6" s="5" t="s">
        <v>7</v>
      </c>
      <c r="O6" s="7"/>
    </row>
    <row r="7" spans="1:15" x14ac:dyDescent="0.2">
      <c r="A7" s="1" t="s">
        <v>5</v>
      </c>
      <c r="B7" s="1" t="s">
        <v>0</v>
      </c>
      <c r="C7" s="1">
        <v>0</v>
      </c>
      <c r="D7" s="1">
        <v>3.831</v>
      </c>
      <c r="E7" s="1">
        <v>13.07</v>
      </c>
      <c r="F7" s="1">
        <v>27.82</v>
      </c>
      <c r="G7" s="1">
        <v>49.501000000000005</v>
      </c>
      <c r="H7" s="1">
        <v>78.004999999999995</v>
      </c>
      <c r="I7" s="1">
        <v>109.77200000000001</v>
      </c>
      <c r="J7" s="1">
        <v>144.11599999999999</v>
      </c>
      <c r="K7" s="1">
        <v>181.72499999999999</v>
      </c>
      <c r="L7" s="1">
        <v>223.16999999999996</v>
      </c>
      <c r="M7" s="1">
        <v>269.58300000000003</v>
      </c>
      <c r="N7" s="1" t="s">
        <v>7</v>
      </c>
    </row>
    <row r="8" spans="1:15" x14ac:dyDescent="0.2">
      <c r="A8" s="1" t="s">
        <v>4</v>
      </c>
      <c r="B8" s="1"/>
      <c r="C8" s="1">
        <f>(-1*C7)-C6</f>
        <v>0</v>
      </c>
      <c r="D8" s="1">
        <f t="shared" ref="D8:M8" si="0">(-1*D7)-D6</f>
        <v>-4.8309999999999995</v>
      </c>
      <c r="E8" s="1">
        <f t="shared" si="0"/>
        <v>-16.07</v>
      </c>
      <c r="F8" s="1">
        <f t="shared" si="0"/>
        <v>-34.82</v>
      </c>
      <c r="G8" s="1">
        <f t="shared" si="0"/>
        <v>-63.501000000000005</v>
      </c>
      <c r="H8" s="1">
        <f t="shared" si="0"/>
        <v>-103.005</v>
      </c>
      <c r="I8" s="1">
        <f t="shared" si="0"/>
        <v>-147.77199999999999</v>
      </c>
      <c r="J8" s="1">
        <f t="shared" si="0"/>
        <v>-197.11599999999999</v>
      </c>
      <c r="K8" s="1">
        <f t="shared" si="0"/>
        <v>-251.72499999999999</v>
      </c>
      <c r="L8" s="1">
        <f t="shared" si="0"/>
        <v>-311.16999999999996</v>
      </c>
      <c r="M8" s="1">
        <f t="shared" si="0"/>
        <v>-376.58300000000003</v>
      </c>
      <c r="N8" s="1" t="s">
        <v>7</v>
      </c>
    </row>
    <row r="9" spans="1:15" x14ac:dyDescent="0.2">
      <c r="A9" s="6" t="s">
        <v>10</v>
      </c>
      <c r="B9" s="6">
        <v>2.734</v>
      </c>
      <c r="C9" s="6">
        <v>2.125</v>
      </c>
      <c r="D9" s="6">
        <v>1.9379999999999999</v>
      </c>
      <c r="E9" s="6">
        <v>1.988</v>
      </c>
      <c r="F9" s="6">
        <v>2.0880000000000001</v>
      </c>
      <c r="G9" s="6">
        <v>2.25</v>
      </c>
      <c r="H9" s="6">
        <v>2.411</v>
      </c>
      <c r="I9" s="6">
        <v>2.4289999999999998</v>
      </c>
      <c r="J9" s="6">
        <v>2.4660000000000002</v>
      </c>
      <c r="K9" s="6">
        <v>2.4660000000000002</v>
      </c>
      <c r="L9" s="6">
        <v>2.4510000000000001</v>
      </c>
      <c r="M9" s="6">
        <v>2.4279999999999999</v>
      </c>
      <c r="N9" s="6" t="s">
        <v>6</v>
      </c>
    </row>
    <row r="10" spans="1:15" x14ac:dyDescent="0.2">
      <c r="A10" s="6" t="s">
        <v>11</v>
      </c>
      <c r="B10" s="6">
        <v>23290.9</v>
      </c>
      <c r="C10" s="6">
        <v>23785.8</v>
      </c>
      <c r="D10" s="6">
        <v>24246.799999999999</v>
      </c>
      <c r="E10" s="6">
        <v>24728.799999999999</v>
      </c>
      <c r="F10" s="6">
        <v>25245.1</v>
      </c>
      <c r="G10" s="6">
        <v>25813.1</v>
      </c>
      <c r="H10" s="6">
        <v>26435.5</v>
      </c>
      <c r="I10" s="6">
        <v>27077.5</v>
      </c>
      <c r="J10" s="6">
        <v>27745.200000000001</v>
      </c>
      <c r="K10" s="6">
        <v>28429.3</v>
      </c>
      <c r="L10" s="6">
        <v>29126.2</v>
      </c>
      <c r="M10" s="6">
        <v>29833.3</v>
      </c>
      <c r="N10" s="6" t="s">
        <v>7</v>
      </c>
    </row>
    <row r="11" spans="1:15" x14ac:dyDescent="0.2">
      <c r="A11" s="1" t="s">
        <v>4</v>
      </c>
      <c r="B11" s="6">
        <f>(B8/B10) * 100</f>
        <v>0</v>
      </c>
      <c r="C11" s="6">
        <f t="shared" ref="C11:M11" si="1">(C8/C10) * 100</f>
        <v>0</v>
      </c>
      <c r="D11" s="6">
        <f t="shared" si="1"/>
        <v>-1.9924278667700478E-2</v>
      </c>
      <c r="E11" s="6">
        <f t="shared" si="1"/>
        <v>-6.4984956811491051E-2</v>
      </c>
      <c r="F11" s="6">
        <f t="shared" si="1"/>
        <v>-0.13792775627745582</v>
      </c>
      <c r="G11" s="6">
        <f t="shared" si="1"/>
        <v>-0.24600299847751728</v>
      </c>
      <c r="H11" s="6">
        <f t="shared" si="1"/>
        <v>-0.38964649808023299</v>
      </c>
      <c r="I11" s="6">
        <f t="shared" si="1"/>
        <v>-0.54573723571230726</v>
      </c>
      <c r="J11" s="6">
        <f t="shared" si="1"/>
        <v>-0.7104508167178466</v>
      </c>
      <c r="K11" s="6">
        <f t="shared" si="1"/>
        <v>-0.88544213188506227</v>
      </c>
      <c r="L11" s="6">
        <f t="shared" si="1"/>
        <v>-1.0683508318970547</v>
      </c>
      <c r="M11" s="6">
        <f t="shared" si="1"/>
        <v>-1.262290795855638</v>
      </c>
      <c r="N11" s="6" t="s">
        <v>14</v>
      </c>
    </row>
    <row r="13" spans="1:15" x14ac:dyDescent="0.2">
      <c r="A13" s="6" t="s">
        <v>12</v>
      </c>
      <c r="C13" s="6">
        <v>3</v>
      </c>
      <c r="D13" s="6">
        <v>3.8</v>
      </c>
      <c r="E13" s="6">
        <v>3.6</v>
      </c>
      <c r="F13" s="6">
        <v>3.3</v>
      </c>
      <c r="G13" s="6">
        <v>3.6</v>
      </c>
      <c r="H13" s="6">
        <v>3.3</v>
      </c>
      <c r="I13" s="6">
        <v>3.1</v>
      </c>
      <c r="J13" s="6">
        <v>3</v>
      </c>
      <c r="K13" s="6">
        <v>2.9</v>
      </c>
      <c r="L13" s="6">
        <v>3</v>
      </c>
      <c r="M13" s="6">
        <v>2.9</v>
      </c>
      <c r="N13" s="6" t="s">
        <v>14</v>
      </c>
    </row>
    <row r="14" spans="1:15" x14ac:dyDescent="0.2">
      <c r="A14" s="6" t="s">
        <v>13</v>
      </c>
      <c r="C14" s="6">
        <f>C13+C11</f>
        <v>3</v>
      </c>
      <c r="D14" s="6">
        <f>D13+D11</f>
        <v>3.7800757213322993</v>
      </c>
      <c r="E14" s="6">
        <f t="shared" ref="E14:M14" si="2">E13+E11</f>
        <v>3.5350150431885092</v>
      </c>
      <c r="F14" s="6">
        <f t="shared" si="2"/>
        <v>3.1620722437225441</v>
      </c>
      <c r="G14" s="6">
        <f t="shared" si="2"/>
        <v>3.3539970015224827</v>
      </c>
      <c r="H14" s="6">
        <f t="shared" si="2"/>
        <v>2.9103535019197668</v>
      </c>
      <c r="I14" s="6">
        <f t="shared" si="2"/>
        <v>2.5542627642876927</v>
      </c>
      <c r="J14" s="6">
        <f t="shared" si="2"/>
        <v>2.2895491832821535</v>
      </c>
      <c r="K14" s="6">
        <f t="shared" si="2"/>
        <v>2.0145578681149376</v>
      </c>
      <c r="L14" s="6">
        <f t="shared" si="2"/>
        <v>1.9316491681029453</v>
      </c>
      <c r="M14" s="6">
        <f t="shared" si="2"/>
        <v>1.6377092041443619</v>
      </c>
      <c r="N14" s="6" t="s">
        <v>14</v>
      </c>
    </row>
    <row r="16" spans="1:15" x14ac:dyDescent="0.2">
      <c r="A16" s="10" t="s">
        <v>16</v>
      </c>
    </row>
    <row r="17" spans="1:14" x14ac:dyDescent="0.2">
      <c r="A17" s="1" t="s">
        <v>1</v>
      </c>
      <c r="B17" s="6">
        <v>0.98</v>
      </c>
      <c r="C17" s="6">
        <v>0.98299999999999998</v>
      </c>
      <c r="D17" s="6">
        <v>1.0149999999999999</v>
      </c>
      <c r="E17" s="6">
        <v>1.0580000000000001</v>
      </c>
      <c r="F17" s="6">
        <v>1.105</v>
      </c>
      <c r="G17" s="6">
        <v>1.129</v>
      </c>
      <c r="H17" s="6">
        <v>1.1259999999999999</v>
      </c>
      <c r="I17" s="6">
        <v>1.125</v>
      </c>
      <c r="J17" s="6">
        <v>1.121</v>
      </c>
      <c r="K17" s="6">
        <v>1.1160000000000001</v>
      </c>
      <c r="L17" s="6">
        <v>1.1140000000000001</v>
      </c>
      <c r="M17" s="6">
        <v>1.1120000000000001</v>
      </c>
      <c r="N17" s="1" t="s">
        <v>6</v>
      </c>
    </row>
    <row r="18" spans="1:14" x14ac:dyDescent="0.2">
      <c r="A18" s="1" t="s">
        <v>2</v>
      </c>
      <c r="B18" s="6">
        <v>0.98</v>
      </c>
      <c r="C18" s="6">
        <v>0.98299999999999998</v>
      </c>
      <c r="D18" s="6">
        <v>2.0149999999999997</v>
      </c>
      <c r="E18" s="6">
        <v>2.0579999999999998</v>
      </c>
      <c r="F18" s="6">
        <v>2.105</v>
      </c>
      <c r="G18" s="6">
        <v>2.129</v>
      </c>
      <c r="H18" s="6">
        <v>2.1259999999999999</v>
      </c>
      <c r="I18" s="6">
        <v>2.125</v>
      </c>
      <c r="J18" s="6">
        <v>2.121</v>
      </c>
      <c r="K18" s="6">
        <v>2.1160000000000001</v>
      </c>
      <c r="L18" s="6">
        <v>2.1139999999999999</v>
      </c>
      <c r="M18" s="6">
        <v>2.1120000000000001</v>
      </c>
      <c r="N18" s="1" t="s">
        <v>6</v>
      </c>
    </row>
    <row r="19" spans="1:14" x14ac:dyDescent="0.2">
      <c r="A19" s="1" t="s">
        <v>8</v>
      </c>
      <c r="C19" s="6">
        <v>0</v>
      </c>
      <c r="D19" s="6">
        <v>46.814999999999998</v>
      </c>
      <c r="E19" s="6">
        <v>119.047</v>
      </c>
      <c r="F19" s="6">
        <v>200.55099999999999</v>
      </c>
      <c r="G19" s="6">
        <v>291.88099999999997</v>
      </c>
      <c r="H19" s="6">
        <v>393.90800000000002</v>
      </c>
      <c r="I19" s="6">
        <v>506.81099999999998</v>
      </c>
      <c r="J19" s="6">
        <v>632.23400000000004</v>
      </c>
      <c r="K19" s="6">
        <v>769.66800000000001</v>
      </c>
      <c r="L19" s="6">
        <v>919.68899999999996</v>
      </c>
      <c r="M19" s="6">
        <v>1085.5409999999999</v>
      </c>
      <c r="N19" s="1" t="s">
        <v>7</v>
      </c>
    </row>
    <row r="20" spans="1:14" x14ac:dyDescent="0.2">
      <c r="A20" s="1" t="s">
        <v>3</v>
      </c>
      <c r="C20" s="6">
        <v>0</v>
      </c>
      <c r="D20" s="6">
        <v>6.7829999999999995</v>
      </c>
      <c r="E20" s="6">
        <v>21.690999999999999</v>
      </c>
      <c r="F20" s="6">
        <v>41.524000000000001</v>
      </c>
      <c r="G20" s="6">
        <v>65.338999999999999</v>
      </c>
      <c r="H20" s="6">
        <v>93.185999999999993</v>
      </c>
      <c r="I20" s="6">
        <v>124.35999999999999</v>
      </c>
      <c r="J20" s="6">
        <v>158.29200000000003</v>
      </c>
      <c r="K20" s="6">
        <v>192.572</v>
      </c>
      <c r="L20" s="6">
        <v>228.57799999999997</v>
      </c>
      <c r="M20" s="6">
        <v>264.07399999999996</v>
      </c>
      <c r="N20" s="5" t="s">
        <v>7</v>
      </c>
    </row>
    <row r="21" spans="1:14" x14ac:dyDescent="0.2">
      <c r="A21" s="1" t="s">
        <v>5</v>
      </c>
      <c r="C21" s="6">
        <v>0</v>
      </c>
      <c r="D21" s="6">
        <v>37.970999999999997</v>
      </c>
      <c r="E21" s="6">
        <v>90.670999999999992</v>
      </c>
      <c r="F21" s="6">
        <v>145.16799999999998</v>
      </c>
      <c r="G21" s="6">
        <v>206.98999999999998</v>
      </c>
      <c r="H21" s="6">
        <v>273.20500000000004</v>
      </c>
      <c r="I21" s="6">
        <v>346.01299999999998</v>
      </c>
      <c r="J21" s="6">
        <v>426.71100000000001</v>
      </c>
      <c r="K21" s="6">
        <v>516.49099999999999</v>
      </c>
      <c r="L21" s="6">
        <v>616.90699999999993</v>
      </c>
      <c r="M21" s="6">
        <v>730.572</v>
      </c>
      <c r="N21" s="1" t="s">
        <v>7</v>
      </c>
    </row>
    <row r="22" spans="1:14" x14ac:dyDescent="0.2">
      <c r="A22" s="1" t="s">
        <v>4</v>
      </c>
      <c r="D22" s="6">
        <f>(-1*D21)-D20</f>
        <v>-44.753999999999998</v>
      </c>
      <c r="E22" s="6">
        <f t="shared" ref="E22:M22" si="3">(-1*E21)-E20</f>
        <v>-112.36199999999999</v>
      </c>
      <c r="F22" s="6">
        <f t="shared" si="3"/>
        <v>-186.69199999999998</v>
      </c>
      <c r="G22" s="6">
        <f t="shared" si="3"/>
        <v>-272.32899999999995</v>
      </c>
      <c r="H22" s="6">
        <f t="shared" si="3"/>
        <v>-366.39100000000002</v>
      </c>
      <c r="I22" s="6">
        <f t="shared" si="3"/>
        <v>-470.37299999999993</v>
      </c>
      <c r="J22" s="6">
        <f t="shared" si="3"/>
        <v>-585.00300000000004</v>
      </c>
      <c r="K22" s="6">
        <f t="shared" si="3"/>
        <v>-709.06299999999999</v>
      </c>
      <c r="L22" s="6">
        <f t="shared" si="3"/>
        <v>-845.4849999999999</v>
      </c>
      <c r="M22" s="6">
        <f t="shared" si="3"/>
        <v>-994.64599999999996</v>
      </c>
      <c r="N22" s="1" t="s">
        <v>7</v>
      </c>
    </row>
    <row r="23" spans="1:14" x14ac:dyDescent="0.2">
      <c r="A23" s="6" t="s">
        <v>10</v>
      </c>
      <c r="B23" s="6">
        <v>2.734</v>
      </c>
      <c r="C23" s="6">
        <v>2.125</v>
      </c>
      <c r="D23" s="6">
        <v>2.9319999999999999</v>
      </c>
      <c r="E23" s="6">
        <v>2.9060000000000001</v>
      </c>
      <c r="F23" s="6">
        <v>2.923</v>
      </c>
      <c r="G23" s="6">
        <v>2.9969999999999999</v>
      </c>
      <c r="H23" s="6">
        <v>3.0640000000000001</v>
      </c>
      <c r="I23" s="6">
        <v>3.093</v>
      </c>
      <c r="J23" s="6">
        <v>3.141</v>
      </c>
      <c r="K23" s="6">
        <v>3.15</v>
      </c>
      <c r="L23" s="6">
        <v>3.145</v>
      </c>
      <c r="M23" s="6">
        <v>3.1309999999999998</v>
      </c>
      <c r="N23" s="6" t="s">
        <v>6</v>
      </c>
    </row>
    <row r="24" spans="1:14" x14ac:dyDescent="0.2">
      <c r="A24" s="6" t="s">
        <v>11</v>
      </c>
      <c r="B24" s="6">
        <v>23290.9</v>
      </c>
      <c r="C24" s="6">
        <v>23785.8</v>
      </c>
      <c r="D24" s="6">
        <v>24483.200000000001</v>
      </c>
      <c r="E24" s="6">
        <v>25194.7</v>
      </c>
      <c r="F24" s="6">
        <v>25931.1</v>
      </c>
      <c r="G24" s="6">
        <v>26708.2</v>
      </c>
      <c r="H24" s="6">
        <v>27526.5</v>
      </c>
      <c r="I24" s="6">
        <v>28377.8</v>
      </c>
      <c r="J24" s="6">
        <v>29269.1</v>
      </c>
      <c r="K24" s="6">
        <v>30191.200000000001</v>
      </c>
      <c r="L24" s="6">
        <v>31140.7</v>
      </c>
      <c r="M24" s="6">
        <v>32115.599999999999</v>
      </c>
      <c r="N24" s="6" t="s">
        <v>7</v>
      </c>
    </row>
    <row r="25" spans="1:14" x14ac:dyDescent="0.2">
      <c r="A25" s="1" t="s">
        <v>4</v>
      </c>
      <c r="B25" s="6">
        <f xml:space="preserve"> (B21 / B24) * 100</f>
        <v>0</v>
      </c>
      <c r="C25" s="6">
        <f t="shared" ref="C25:M25" si="4" xml:space="preserve"> (C21 / C24) * 100</f>
        <v>0</v>
      </c>
      <c r="D25" s="6">
        <f xml:space="preserve"> (D22 / D24) * 100</f>
        <v>-0.1827947327146778</v>
      </c>
      <c r="E25" s="6">
        <f t="shared" ref="E25:M25" si="5" xml:space="preserve"> (E22 / E24) * 100</f>
        <v>-0.44597474865745568</v>
      </c>
      <c r="F25" s="6">
        <f t="shared" si="5"/>
        <v>-0.71995403203103603</v>
      </c>
      <c r="G25" s="6">
        <f t="shared" si="5"/>
        <v>-1.0196456518971699</v>
      </c>
      <c r="H25" s="6">
        <f t="shared" si="5"/>
        <v>-1.3310482625833289</v>
      </c>
      <c r="I25" s="6">
        <f t="shared" si="5"/>
        <v>-1.6575386393589353</v>
      </c>
      <c r="J25" s="6">
        <f t="shared" si="5"/>
        <v>-1.9987051190504663</v>
      </c>
      <c r="K25" s="6">
        <f t="shared" si="5"/>
        <v>-2.3485750814806963</v>
      </c>
      <c r="L25" s="6">
        <f t="shared" si="5"/>
        <v>-2.7150481524178964</v>
      </c>
      <c r="M25" s="6">
        <f t="shared" si="5"/>
        <v>-3.0970805465256759</v>
      </c>
      <c r="N25" s="6" t="s">
        <v>14</v>
      </c>
    </row>
    <row r="27" spans="1:14" x14ac:dyDescent="0.2">
      <c r="A27" s="6" t="s">
        <v>12</v>
      </c>
      <c r="C27" s="6">
        <v>3</v>
      </c>
      <c r="D27" s="6">
        <v>3.8</v>
      </c>
      <c r="E27" s="6">
        <v>3.6</v>
      </c>
      <c r="F27" s="6">
        <v>3.3</v>
      </c>
      <c r="G27" s="6">
        <v>3.6</v>
      </c>
      <c r="H27" s="6">
        <v>3.3</v>
      </c>
      <c r="I27" s="6">
        <v>3.1</v>
      </c>
      <c r="J27" s="6">
        <v>3</v>
      </c>
      <c r="K27" s="6">
        <v>2.9</v>
      </c>
      <c r="L27" s="6">
        <v>3</v>
      </c>
      <c r="M27" s="6">
        <v>2.9</v>
      </c>
      <c r="N27" s="6" t="s">
        <v>14</v>
      </c>
    </row>
    <row r="28" spans="1:14" x14ac:dyDescent="0.2">
      <c r="A28" s="6" t="s">
        <v>13</v>
      </c>
      <c r="C28" s="6">
        <f>C27+C25</f>
        <v>3</v>
      </c>
      <c r="D28" s="6">
        <f t="shared" ref="D28:M28" si="6">D27+D25</f>
        <v>3.6172052672853221</v>
      </c>
      <c r="E28" s="6">
        <f t="shared" si="6"/>
        <v>3.1540252513425444</v>
      </c>
      <c r="F28" s="6">
        <f t="shared" si="6"/>
        <v>2.5800459679689638</v>
      </c>
      <c r="G28" s="6">
        <f t="shared" si="6"/>
        <v>2.5803543481028299</v>
      </c>
      <c r="H28" s="6">
        <f t="shared" si="6"/>
        <v>1.968951737416671</v>
      </c>
      <c r="I28" s="6">
        <f t="shared" si="6"/>
        <v>1.4424613606410648</v>
      </c>
      <c r="J28" s="6">
        <f t="shared" si="6"/>
        <v>1.0012948809495337</v>
      </c>
      <c r="K28" s="6">
        <f t="shared" si="6"/>
        <v>0.55142491851930364</v>
      </c>
      <c r="L28" s="6">
        <f t="shared" si="6"/>
        <v>0.28495184758210357</v>
      </c>
      <c r="M28" s="6">
        <f t="shared" si="6"/>
        <v>-0.19708054652567597</v>
      </c>
      <c r="N28" s="6" t="s">
        <v>14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Karsten Posthumus</dc:creator>
  <cp:lastModifiedBy>Daniel Karsten Posthumus</cp:lastModifiedBy>
  <dcterms:created xsi:type="dcterms:W3CDTF">2025-11-04T18:12:16Z</dcterms:created>
  <dcterms:modified xsi:type="dcterms:W3CDTF">2025-11-11T22:43:00Z</dcterms:modified>
</cp:coreProperties>
</file>