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filterPrivacy="1" codeName="ThisWorkbook" defaultThemeVersion="124226"/>
  <xr:revisionPtr revIDLastSave="0" documentId="8_{A64FF076-69D5-7440-825B-98C55C19560B}" xr6:coauthVersionLast="47" xr6:coauthVersionMax="47" xr10:uidLastSave="{00000000-0000-0000-0000-000000000000}"/>
  <workbookProtection lockStructure="1"/>
  <bookViews>
    <workbookView xWindow="0" yWindow="760" windowWidth="30240" windowHeight="17720" tabRatio="811" activeTab="1" xr2:uid="{00000000-000D-0000-FFFF-FFFF00000000}"/>
  </bookViews>
  <sheets>
    <sheet name="Contents" sheetId="7" r:id="rId1"/>
    <sheet name="1. Productivity" sheetId="4" r:id="rId2"/>
    <sheet name="2. Labor Force" sheetId="8" r:id="rId3"/>
    <sheet name="3. Interest Rates" sheetId="10" r:id="rId4"/>
    <sheet name="4. Inflation and Interest" sheetId="12" r:id="rId5"/>
    <sheet name="5. Productivity_CBO" sheetId="6" r:id="rId6"/>
    <sheet name="6. Labor Force_CBO" sheetId="9" r:id="rId7"/>
    <sheet name="7. Interest Rates_CBO" sheetId="11" r:id="rId8"/>
    <sheet name="8. Inflation and Interest_CBO" sheetId="13" r:id="rId9"/>
  </sheets>
  <definedNames>
    <definedName name="_xlnm._FilterDatabase" localSheetId="1" hidden="1">'1. Productivity'!$A$1:$A$145</definedName>
    <definedName name="_xlnm._FilterDatabase" localSheetId="2" hidden="1">'2. Labor Force'!$A$1:$A$143</definedName>
    <definedName name="_xlnm._FilterDatabase" localSheetId="3" hidden="1">'3. Interest Rates'!$A$1:$A$150</definedName>
    <definedName name="_xlnm._FilterDatabase" localSheetId="4" hidden="1">'4. Inflation and Interest'!$A$1:$A$155</definedName>
    <definedName name="_xlnm._FilterDatabase" localSheetId="5" hidden="1">'5. Productivity_CBO'!$A$1:$A$90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2" l="1"/>
  <c r="A19" i="8"/>
  <c r="A15" i="12" l="1"/>
  <c r="B53" i="8" l="1"/>
  <c r="B49" i="8"/>
  <c r="B45" i="8"/>
  <c r="B41" i="8"/>
  <c r="C113" i="4" l="1"/>
  <c r="D113" i="4" l="1"/>
  <c r="C76" i="8"/>
  <c r="C115" i="8" s="1"/>
  <c r="M76" i="8"/>
  <c r="M115" i="8" s="1"/>
  <c r="E113" i="4" l="1"/>
  <c r="F18" i="12" l="1"/>
  <c r="J18" i="12"/>
  <c r="M81" i="12"/>
  <c r="M127" i="12" s="1"/>
  <c r="C18" i="12"/>
  <c r="G18" i="12"/>
  <c r="K18" i="12"/>
  <c r="E21" i="12"/>
  <c r="I21" i="12"/>
  <c r="M21" i="12"/>
  <c r="F81" i="12"/>
  <c r="F127" i="12" s="1"/>
  <c r="J81" i="12"/>
  <c r="J127" i="12" s="1"/>
  <c r="E84" i="12"/>
  <c r="E159" i="12" s="1"/>
  <c r="I84" i="12"/>
  <c r="I159" i="12" s="1"/>
  <c r="M84" i="12"/>
  <c r="M159" i="12" s="1"/>
  <c r="E18" i="12"/>
  <c r="C21" i="12"/>
  <c r="K21" i="12"/>
  <c r="H81" i="12"/>
  <c r="H127" i="12" s="1"/>
  <c r="C84" i="12"/>
  <c r="C159" i="12" s="1"/>
  <c r="K84" i="12"/>
  <c r="K159" i="12" s="1"/>
  <c r="D21" i="12"/>
  <c r="L21" i="12"/>
  <c r="I81" i="12"/>
  <c r="I127" i="12" s="1"/>
  <c r="H84" i="12"/>
  <c r="H159" i="12" s="1"/>
  <c r="D18" i="12"/>
  <c r="H18" i="12"/>
  <c r="L18" i="12"/>
  <c r="F21" i="12"/>
  <c r="J21" i="12"/>
  <c r="C81" i="12"/>
  <c r="C127" i="12" s="1"/>
  <c r="G81" i="12"/>
  <c r="G127" i="12" s="1"/>
  <c r="K81" i="12"/>
  <c r="K127" i="12" s="1"/>
  <c r="F84" i="12"/>
  <c r="F159" i="12" s="1"/>
  <c r="J84" i="12"/>
  <c r="J159" i="12" s="1"/>
  <c r="I18" i="12"/>
  <c r="G21" i="12"/>
  <c r="D81" i="12"/>
  <c r="D127" i="12" s="1"/>
  <c r="L81" i="12"/>
  <c r="L127" i="12" s="1"/>
  <c r="G84" i="12"/>
  <c r="G159" i="12" s="1"/>
  <c r="H21" i="12"/>
  <c r="E81" i="12"/>
  <c r="E127" i="12" s="1"/>
  <c r="D84" i="12"/>
  <c r="D159" i="12" s="1"/>
  <c r="L84" i="12"/>
  <c r="L159" i="12" s="1"/>
  <c r="B21" i="12"/>
  <c r="F113" i="4"/>
  <c r="M69" i="12"/>
  <c r="M78" i="12"/>
  <c r="M66" i="12"/>
  <c r="E69" i="12"/>
  <c r="I69" i="12"/>
  <c r="C69" i="12"/>
  <c r="H69" i="12"/>
  <c r="L69" i="12"/>
  <c r="B72" i="12"/>
  <c r="B69" i="12"/>
  <c r="F69" i="12"/>
  <c r="J69" i="12"/>
  <c r="B75" i="12"/>
  <c r="G69" i="12"/>
  <c r="K69" i="12"/>
  <c r="D69" i="12"/>
  <c r="B50" i="12"/>
  <c r="B58" i="12"/>
  <c r="B54" i="12"/>
  <c r="L78" i="12"/>
  <c r="M18" i="12"/>
  <c r="L66" i="12"/>
  <c r="K78" i="12"/>
  <c r="E35" i="12" l="1" a="1"/>
  <c r="E35" i="12" s="1"/>
  <c r="M35" i="12" a="1"/>
  <c r="M35" i="12" s="1"/>
  <c r="J35" i="12" a="1"/>
  <c r="J35" i="12" s="1"/>
  <c r="G35" i="12" a="1"/>
  <c r="G35" i="12" s="1"/>
  <c r="D35" i="12" a="1"/>
  <c r="D35" i="12" s="1"/>
  <c r="L35" i="12" a="1"/>
  <c r="L35" i="12" s="1"/>
  <c r="I35" i="12" a="1"/>
  <c r="I35" i="12" s="1"/>
  <c r="F35" i="12" a="1"/>
  <c r="F35" i="12" s="1"/>
  <c r="C35" i="12" a="1"/>
  <c r="C35" i="12" s="1"/>
  <c r="K35" i="12" a="1"/>
  <c r="K35" i="12" s="1"/>
  <c r="H35" i="12" a="1"/>
  <c r="H35" i="12" s="1"/>
  <c r="C34" i="12" a="1"/>
  <c r="C34" i="12" s="1"/>
  <c r="D34" i="12" a="1"/>
  <c r="D34" i="12" s="1"/>
  <c r="G34" i="12" a="1"/>
  <c r="G34" i="12" s="1"/>
  <c r="L34" i="12" a="1"/>
  <c r="L34" i="12" s="1"/>
  <c r="E34" i="12" a="1"/>
  <c r="E34" i="12" s="1"/>
  <c r="J34" i="12" a="1"/>
  <c r="J34" i="12" s="1"/>
  <c r="M34" i="12" a="1"/>
  <c r="M34" i="12" s="1"/>
  <c r="H34" i="12" a="1"/>
  <c r="H34" i="12" s="1"/>
  <c r="K34" i="12" a="1"/>
  <c r="K34" i="12" s="1"/>
  <c r="F34" i="12" a="1"/>
  <c r="F34" i="12" s="1"/>
  <c r="I34" i="12" a="1"/>
  <c r="I34" i="12" s="1"/>
  <c r="G113" i="4"/>
  <c r="A19" i="10"/>
  <c r="J24" i="10" l="1" a="1"/>
  <c r="J24" i="10" s="1"/>
  <c r="G24" i="10" a="1"/>
  <c r="G24" i="10" s="1"/>
  <c r="M24" i="10" a="1"/>
  <c r="M24" i="10" s="1"/>
  <c r="E24" i="10" a="1"/>
  <c r="E24" i="10" s="1"/>
  <c r="H24" i="10" a="1"/>
  <c r="H24" i="10" s="1"/>
  <c r="K24" i="10" a="1"/>
  <c r="K24" i="10" s="1"/>
  <c r="D24" i="10" a="1"/>
  <c r="D24" i="10" s="1"/>
  <c r="F24" i="10" a="1"/>
  <c r="F24" i="10" s="1"/>
  <c r="I24" i="10" a="1"/>
  <c r="I24" i="10" s="1"/>
  <c r="L24" i="10" a="1"/>
  <c r="L24" i="10" s="1"/>
  <c r="C24" i="10" a="1"/>
  <c r="C24" i="10" s="1"/>
  <c r="O35" i="12"/>
  <c r="N35" i="12"/>
  <c r="B49" i="10"/>
  <c r="B45" i="10"/>
  <c r="B53" i="10"/>
  <c r="B41" i="10"/>
  <c r="H113" i="4"/>
  <c r="D76" i="10"/>
  <c r="D122" i="10" s="1"/>
  <c r="D27" i="10" s="1"/>
  <c r="L76" i="10"/>
  <c r="L122" i="10" s="1"/>
  <c r="L27" i="10" s="1"/>
  <c r="E76" i="10"/>
  <c r="E122" i="10" s="1"/>
  <c r="E27" i="10" s="1"/>
  <c r="M76" i="10"/>
  <c r="M122" i="10" s="1"/>
  <c r="M27" i="10" s="1"/>
  <c r="F76" i="10"/>
  <c r="F122" i="10" s="1"/>
  <c r="F27" i="10" s="1"/>
  <c r="C76" i="10"/>
  <c r="C122" i="10" s="1"/>
  <c r="C27" i="10" s="1"/>
  <c r="G76" i="10"/>
  <c r="G122" i="10" s="1"/>
  <c r="G27" i="10" s="1"/>
  <c r="H76" i="10"/>
  <c r="H122" i="10" s="1"/>
  <c r="H27" i="10" s="1"/>
  <c r="I76" i="10"/>
  <c r="I122" i="10" s="1"/>
  <c r="I27" i="10" s="1"/>
  <c r="J76" i="10"/>
  <c r="J122" i="10" s="1"/>
  <c r="J27" i="10" s="1"/>
  <c r="K76" i="10"/>
  <c r="K122" i="10" s="1"/>
  <c r="K27" i="10" s="1"/>
  <c r="M64" i="10"/>
  <c r="M85" i="10"/>
  <c r="M73" i="10"/>
  <c r="M61" i="10"/>
  <c r="M82" i="10"/>
  <c r="M70" i="10"/>
  <c r="M79" i="10"/>
  <c r="M67" i="10"/>
  <c r="D67" i="10"/>
  <c r="H67" i="10"/>
  <c r="L67" i="10"/>
  <c r="D64" i="10"/>
  <c r="H64" i="10"/>
  <c r="L64" i="10"/>
  <c r="F67" i="10"/>
  <c r="B64" i="10"/>
  <c r="C67" i="10"/>
  <c r="C64" i="10"/>
  <c r="K64" i="10"/>
  <c r="E67" i="10"/>
  <c r="I67" i="10"/>
  <c r="E64" i="10"/>
  <c r="I64" i="10"/>
  <c r="B67" i="10"/>
  <c r="J67" i="10"/>
  <c r="F64" i="10"/>
  <c r="J64" i="10"/>
  <c r="G67" i="10"/>
  <c r="K67" i="10"/>
  <c r="G64" i="10"/>
  <c r="M28" i="10"/>
  <c r="C85" i="10"/>
  <c r="C73" i="10"/>
  <c r="C61" i="10"/>
  <c r="C82" i="10"/>
  <c r="C70" i="10"/>
  <c r="C79" i="10"/>
  <c r="K85" i="10"/>
  <c r="I82" i="10"/>
  <c r="K79" i="10"/>
  <c r="H73" i="10"/>
  <c r="J79" i="10"/>
  <c r="L82" i="10"/>
  <c r="H82" i="10"/>
  <c r="J85" i="10"/>
  <c r="I79" i="10"/>
  <c r="K82" i="10"/>
  <c r="I85" i="10"/>
  <c r="L79" i="10"/>
  <c r="H79" i="10"/>
  <c r="J82" i="10"/>
  <c r="L85" i="10"/>
  <c r="H85" i="10"/>
  <c r="H70" i="10"/>
  <c r="J73" i="10"/>
  <c r="B17" i="10"/>
  <c r="K70" i="10"/>
  <c r="I73" i="10"/>
  <c r="M17" i="10"/>
  <c r="K61" i="10"/>
  <c r="I70" i="10"/>
  <c r="K73" i="10"/>
  <c r="L70" i="10"/>
  <c r="F17" i="10"/>
  <c r="C17" i="10"/>
  <c r="L61" i="10"/>
  <c r="J70" i="10"/>
  <c r="L73" i="10"/>
  <c r="C30" i="10" l="1" a="1"/>
  <c r="C30" i="10" s="1"/>
  <c r="D30" i="10" a="1"/>
  <c r="D30" i="10" s="1"/>
  <c r="M30" i="10" a="1"/>
  <c r="M30" i="10" s="1"/>
  <c r="L30" i="10" a="1"/>
  <c r="L30" i="10" s="1"/>
  <c r="I30" i="10" a="1"/>
  <c r="I30" i="10" s="1"/>
  <c r="K30" i="10" a="1"/>
  <c r="K30" i="10" s="1"/>
  <c r="G30" i="10" a="1"/>
  <c r="G30" i="10" s="1"/>
  <c r="E30" i="10" a="1"/>
  <c r="E30" i="10" s="1"/>
  <c r="H30" i="10" a="1"/>
  <c r="H30" i="10" s="1"/>
  <c r="F30" i="10" a="1"/>
  <c r="F30" i="10" s="1"/>
  <c r="J30" i="10" a="1"/>
  <c r="J30" i="10" s="1"/>
  <c r="I113" i="4"/>
  <c r="O24" i="10"/>
  <c r="N24" i="10"/>
  <c r="J113" i="4" l="1"/>
  <c r="A19" i="4"/>
  <c r="B73" i="4" l="1"/>
  <c r="B53" i="4"/>
  <c r="D76" i="4"/>
  <c r="D117" i="4" s="1"/>
  <c r="M76" i="4"/>
  <c r="M117" i="4" s="1"/>
  <c r="K113" i="4"/>
  <c r="B64" i="4"/>
  <c r="H76" i="8"/>
  <c r="H115" i="8" s="1"/>
  <c r="F76" i="8"/>
  <c r="F115" i="8" s="1"/>
  <c r="K76" i="8"/>
  <c r="K115" i="8" s="1"/>
  <c r="G76" i="8"/>
  <c r="G115" i="8" s="1"/>
  <c r="J76" i="8"/>
  <c r="J115" i="8" s="1"/>
  <c r="E76" i="8"/>
  <c r="E115" i="8" s="1"/>
  <c r="L76" i="8"/>
  <c r="L115" i="8" s="1"/>
  <c r="D76" i="8"/>
  <c r="D115" i="8" s="1"/>
  <c r="I76" i="8"/>
  <c r="I115" i="8" s="1"/>
  <c r="F76" i="4"/>
  <c r="F117" i="4" s="1"/>
  <c r="E76" i="4"/>
  <c r="E117" i="4" s="1"/>
  <c r="L76" i="4"/>
  <c r="L117" i="4" s="1"/>
  <c r="C76" i="4"/>
  <c r="C117" i="4" s="1"/>
  <c r="G76" i="4"/>
  <c r="G117" i="4" s="1"/>
  <c r="K76" i="4"/>
  <c r="K117" i="4" s="1"/>
  <c r="J76" i="4"/>
  <c r="J117" i="4" s="1"/>
  <c r="I76" i="4"/>
  <c r="I117" i="4" s="1"/>
  <c r="H76" i="4"/>
  <c r="H117" i="4" s="1"/>
  <c r="B61" i="8"/>
  <c r="B76" i="8"/>
  <c r="M82" i="8"/>
  <c r="M79" i="8"/>
  <c r="B70" i="8"/>
  <c r="B64" i="8"/>
  <c r="B67" i="8"/>
  <c r="M82" i="4"/>
  <c r="M79" i="4"/>
  <c r="B49" i="4"/>
  <c r="B45" i="4"/>
  <c r="B41" i="4"/>
  <c r="M17" i="4"/>
  <c r="J30" i="4" l="1" a="1"/>
  <c r="J30" i="4" s="1"/>
  <c r="I30" i="4" a="1"/>
  <c r="I30" i="4" s="1"/>
  <c r="M30" i="4" a="1"/>
  <c r="M30" i="4" s="1"/>
  <c r="E30" i="4" a="1"/>
  <c r="E30" i="4" s="1"/>
  <c r="C30" i="4" a="1"/>
  <c r="C30" i="4" s="1"/>
  <c r="G30" i="4" a="1"/>
  <c r="G30" i="4" s="1"/>
  <c r="D30" i="4" a="1"/>
  <c r="D30" i="4" s="1"/>
  <c r="H30" i="4" a="1"/>
  <c r="H30" i="4" s="1"/>
  <c r="F30" i="4" a="1"/>
  <c r="F30" i="4" s="1"/>
  <c r="K30" i="4" a="1"/>
  <c r="K30" i="4" s="1"/>
  <c r="L30" i="4" a="1"/>
  <c r="L30" i="4" s="1"/>
  <c r="D30" i="8" a="1"/>
  <c r="D30" i="8" s="1"/>
  <c r="I30" i="8" a="1"/>
  <c r="I30" i="8" s="1"/>
  <c r="M30" i="8" a="1"/>
  <c r="M30" i="8" s="1"/>
  <c r="E30" i="8" a="1"/>
  <c r="E30" i="8" s="1"/>
  <c r="H30" i="8" a="1"/>
  <c r="H30" i="8" s="1"/>
  <c r="G30" i="8" a="1"/>
  <c r="G30" i="8" s="1"/>
  <c r="C30" i="8" a="1"/>
  <c r="C30" i="8" s="1"/>
  <c r="K30" i="8" a="1"/>
  <c r="K30" i="8" s="1"/>
  <c r="L30" i="8" a="1"/>
  <c r="L30" i="8" s="1"/>
  <c r="F30" i="8" a="1"/>
  <c r="F30" i="8" s="1"/>
  <c r="J30" i="8" a="1"/>
  <c r="J30" i="8" s="1"/>
  <c r="L113" i="4"/>
  <c r="M28" i="8"/>
  <c r="M113" i="4" l="1"/>
  <c r="A14" i="10"/>
  <c r="B76" i="4" l="1"/>
  <c r="B61" i="4"/>
  <c r="M28" i="4"/>
  <c r="A14" i="4"/>
  <c r="C17" i="4"/>
  <c r="C114" i="4" s="1"/>
  <c r="C115" i="4" s="1"/>
  <c r="B17" i="4"/>
  <c r="A14" i="8"/>
  <c r="G79" i="10"/>
  <c r="E79" i="10"/>
  <c r="F79" i="10"/>
  <c r="D79" i="10"/>
  <c r="C64" i="4" l="1"/>
  <c r="C73" i="4"/>
  <c r="F78" i="12"/>
  <c r="J78" i="12"/>
  <c r="B78" i="12"/>
  <c r="G78" i="12"/>
  <c r="E78" i="12"/>
  <c r="C78" i="12"/>
  <c r="D78" i="12"/>
  <c r="H78" i="12"/>
  <c r="G66" i="12"/>
  <c r="I78" i="12"/>
  <c r="C66" i="12"/>
  <c r="B18" i="12"/>
  <c r="H66" i="12"/>
  <c r="B81" i="12"/>
  <c r="B46" i="12"/>
  <c r="B90" i="12"/>
  <c r="C90" i="12" s="1"/>
  <c r="D90" i="12" s="1"/>
  <c r="E90" i="12" s="1"/>
  <c r="F90" i="12" s="1"/>
  <c r="G90" i="12" s="1"/>
  <c r="H90" i="12" s="1"/>
  <c r="I90" i="12" s="1"/>
  <c r="J90" i="12" s="1"/>
  <c r="K90" i="12" s="1"/>
  <c r="L90" i="12" s="1"/>
  <c r="M90" i="12" s="1"/>
  <c r="D66" i="12"/>
  <c r="I66" i="12"/>
  <c r="B84" i="12"/>
  <c r="E66" i="12"/>
  <c r="K66" i="12"/>
  <c r="B87" i="12"/>
  <c r="J66" i="12"/>
  <c r="F66" i="12"/>
  <c r="B66" i="12"/>
  <c r="C61" i="4" l="1"/>
  <c r="C87" i="12"/>
  <c r="D87" i="12" s="1"/>
  <c r="E87" i="12" s="1"/>
  <c r="F87" i="12" s="1"/>
  <c r="G87" i="12" s="1"/>
  <c r="H87" i="12" s="1"/>
  <c r="I87" i="12" s="1"/>
  <c r="J87" i="12" s="1"/>
  <c r="K87" i="12" s="1"/>
  <c r="L87" i="12" s="1"/>
  <c r="M87" i="12" s="1"/>
  <c r="C67" i="4" l="1"/>
  <c r="C85" i="4" s="1"/>
  <c r="C72" i="12"/>
  <c r="C75" i="12" s="1"/>
  <c r="C28" i="12" s="1" a="1"/>
  <c r="C28" i="12" s="1"/>
  <c r="D72" i="12"/>
  <c r="C32" i="12" l="1"/>
  <c r="C31" i="12"/>
  <c r="D75" i="12"/>
  <c r="M138" i="10"/>
  <c r="D32" i="12" l="1"/>
  <c r="D28" i="12" a="1"/>
  <c r="D28" i="12" s="1"/>
  <c r="C143" i="12"/>
  <c r="D31" i="12"/>
  <c r="E72" i="12"/>
  <c r="E75" i="12" s="1"/>
  <c r="E28" i="12" s="1" a="1"/>
  <c r="E28" i="12" s="1"/>
  <c r="F72" i="12"/>
  <c r="D143" i="12" l="1"/>
  <c r="E32" i="12"/>
  <c r="E31" i="12"/>
  <c r="F75" i="12"/>
  <c r="F28" i="12" s="1" a="1"/>
  <c r="F28" i="12" s="1"/>
  <c r="N34" i="12"/>
  <c r="G72" i="12"/>
  <c r="G75" i="12" s="1"/>
  <c r="G28" i="12" s="1" a="1"/>
  <c r="G28" i="12" s="1"/>
  <c r="E143" i="12" l="1"/>
  <c r="F31" i="12"/>
  <c r="F32" i="12"/>
  <c r="G32" i="12"/>
  <c r="G31" i="12"/>
  <c r="H72" i="12"/>
  <c r="H75" i="12" s="1"/>
  <c r="H28" i="12" s="1" a="1"/>
  <c r="H28" i="12" s="1"/>
  <c r="F143" i="12" l="1"/>
  <c r="G143" i="12"/>
  <c r="H32" i="12"/>
  <c r="H31" i="12"/>
  <c r="I72" i="12"/>
  <c r="I75" i="12" s="1"/>
  <c r="I28" i="12" s="1" a="1"/>
  <c r="I28" i="12" s="1"/>
  <c r="H143" i="12" l="1"/>
  <c r="I32" i="12"/>
  <c r="I31" i="12"/>
  <c r="N28" i="12"/>
  <c r="J72" i="12"/>
  <c r="J75" i="12" s="1"/>
  <c r="J28" i="12" s="1" a="1"/>
  <c r="J28" i="12" s="1"/>
  <c r="I143" i="12" l="1"/>
  <c r="J31" i="12"/>
  <c r="J32" i="12"/>
  <c r="O34" i="12"/>
  <c r="N32" i="12"/>
  <c r="K72" i="12"/>
  <c r="K75" i="12" s="1"/>
  <c r="K28" i="12" s="1" a="1"/>
  <c r="K28" i="12" s="1"/>
  <c r="N31" i="12"/>
  <c r="J143" i="12" l="1"/>
  <c r="K32" i="12"/>
  <c r="K31" i="12"/>
  <c r="K143" i="12" l="1"/>
  <c r="L72" i="12"/>
  <c r="L75" i="12" s="1"/>
  <c r="L28" i="12" s="1" a="1"/>
  <c r="L28" i="12" s="1"/>
  <c r="L32" i="12" l="1"/>
  <c r="L31" i="12"/>
  <c r="M72" i="12"/>
  <c r="M75" i="12" s="1"/>
  <c r="M28" i="12" s="1" a="1"/>
  <c r="M28" i="12" s="1"/>
  <c r="L143" i="12" l="1"/>
  <c r="M31" i="12"/>
  <c r="M32" i="12"/>
  <c r="O28" i="12"/>
  <c r="M143" i="12" l="1"/>
  <c r="E36" i="12" s="1" a="1"/>
  <c r="E36" i="12" s="1"/>
  <c r="O31" i="12"/>
  <c r="O32" i="12"/>
  <c r="J36" i="12" l="1" a="1"/>
  <c r="J36" i="12" s="1"/>
  <c r="D36" i="12" a="1"/>
  <c r="D36" i="12" s="1"/>
  <c r="D38" i="12" s="1"/>
  <c r="I36" i="12" a="1"/>
  <c r="I36" i="12" s="1"/>
  <c r="C36" i="12" a="1"/>
  <c r="C36" i="12" s="1"/>
  <c r="H36" i="12" a="1"/>
  <c r="H36" i="12" s="1"/>
  <c r="M36" i="12" a="1"/>
  <c r="M36" i="12" s="1"/>
  <c r="M38" i="12" s="1"/>
  <c r="M40" i="12" s="1"/>
  <c r="M42" i="12" s="1"/>
  <c r="M46" i="12" s="1"/>
  <c r="G36" i="12" a="1"/>
  <c r="G36" i="12" s="1"/>
  <c r="L36" i="12" a="1"/>
  <c r="L36" i="12" s="1"/>
  <c r="F36" i="12" a="1"/>
  <c r="F36" i="12" s="1"/>
  <c r="K36" i="12" a="1"/>
  <c r="K36" i="12" s="1"/>
  <c r="H61" i="10"/>
  <c r="F85" i="10"/>
  <c r="G82" i="10"/>
  <c r="D73" i="10"/>
  <c r="I61" i="10"/>
  <c r="G85" i="10"/>
  <c r="D82" i="10"/>
  <c r="E73" i="10"/>
  <c r="B61" i="10"/>
  <c r="D70" i="10"/>
  <c r="F61" i="10"/>
  <c r="J61" i="10"/>
  <c r="D85" i="10"/>
  <c r="E82" i="10"/>
  <c r="B82" i="10"/>
  <c r="F73" i="10"/>
  <c r="E70" i="10"/>
  <c r="B70" i="10"/>
  <c r="G61" i="10"/>
  <c r="E85" i="10"/>
  <c r="B85" i="10"/>
  <c r="F82" i="10"/>
  <c r="G73" i="10"/>
  <c r="F70" i="10"/>
  <c r="D61" i="10"/>
  <c r="G70" i="10"/>
  <c r="E61" i="10"/>
  <c r="G28" i="10"/>
  <c r="K28" i="10"/>
  <c r="F28" i="10"/>
  <c r="D28" i="10"/>
  <c r="H28" i="10"/>
  <c r="L28" i="10"/>
  <c r="E28" i="10"/>
  <c r="I28" i="10"/>
  <c r="J28" i="10"/>
  <c r="B79" i="10"/>
  <c r="L17" i="10"/>
  <c r="H17" i="10"/>
  <c r="D17" i="10"/>
  <c r="G17" i="10"/>
  <c r="C28" i="10"/>
  <c r="K17" i="10"/>
  <c r="B76" i="10"/>
  <c r="J17" i="10"/>
  <c r="E17" i="10"/>
  <c r="B73" i="10"/>
  <c r="I17" i="10"/>
  <c r="K38" i="12" l="1"/>
  <c r="K40" i="12" s="1"/>
  <c r="K42" i="12" s="1"/>
  <c r="K46" i="12" s="1"/>
  <c r="K54" i="12" s="1"/>
  <c r="I38" i="12"/>
  <c r="I40" i="12" s="1"/>
  <c r="I42" i="12" s="1"/>
  <c r="I46" i="12" s="1"/>
  <c r="I54" i="12" s="1"/>
  <c r="F38" i="12"/>
  <c r="F40" i="12" s="1"/>
  <c r="F42" i="12" s="1"/>
  <c r="F46" i="12" s="1"/>
  <c r="F54" i="12" s="1"/>
  <c r="J38" i="12"/>
  <c r="J40" i="12" s="1"/>
  <c r="J42" i="12" s="1"/>
  <c r="J46" i="12" s="1"/>
  <c r="J54" i="12" s="1"/>
  <c r="E38" i="12"/>
  <c r="E40" i="12" s="1"/>
  <c r="E42" i="12" s="1"/>
  <c r="E46" i="12" s="1"/>
  <c r="E54" i="12" s="1"/>
  <c r="H38" i="12"/>
  <c r="H40" i="12" s="1"/>
  <c r="H42" i="12" s="1"/>
  <c r="H46" i="12" s="1"/>
  <c r="H54" i="12" s="1"/>
  <c r="G38" i="12"/>
  <c r="G40" i="12" s="1"/>
  <c r="G42" i="12" s="1"/>
  <c r="G46" i="12" s="1"/>
  <c r="G54" i="12" s="1"/>
  <c r="L38" i="12"/>
  <c r="L40" i="12" s="1"/>
  <c r="L42" i="12" s="1"/>
  <c r="C38" i="12"/>
  <c r="C40" i="12" s="1"/>
  <c r="C42" i="12" s="1"/>
  <c r="C46" i="12" s="1"/>
  <c r="C54" i="12" s="1"/>
  <c r="E138" i="10"/>
  <c r="G138" i="10"/>
  <c r="K138" i="10"/>
  <c r="F138" i="10"/>
  <c r="D138" i="10"/>
  <c r="J138" i="10"/>
  <c r="I138" i="10"/>
  <c r="H138" i="10"/>
  <c r="C138" i="10"/>
  <c r="L138" i="10"/>
  <c r="O36" i="12"/>
  <c r="N36" i="12"/>
  <c r="M54" i="12"/>
  <c r="O28" i="10"/>
  <c r="N28" i="10"/>
  <c r="N27" i="10"/>
  <c r="O27" i="10"/>
  <c r="C31" i="10" l="1" a="1"/>
  <c r="C31" i="10" s="1"/>
  <c r="C33" i="10" s="1"/>
  <c r="D31" i="10" a="1"/>
  <c r="D31" i="10" s="1"/>
  <c r="E31" i="10" a="1"/>
  <c r="E31" i="10" s="1"/>
  <c r="F31" i="10" a="1"/>
  <c r="F31" i="10" s="1"/>
  <c r="G31" i="10" a="1"/>
  <c r="G31" i="10" s="1"/>
  <c r="H31" i="10" a="1"/>
  <c r="H31" i="10" s="1"/>
  <c r="I31" i="10" a="1"/>
  <c r="I31" i="10" s="1"/>
  <c r="J31" i="10" a="1"/>
  <c r="J31" i="10" s="1"/>
  <c r="K31" i="10" a="1"/>
  <c r="K31" i="10" s="1"/>
  <c r="L31" i="10" a="1"/>
  <c r="L31" i="10" s="1"/>
  <c r="M31" i="10" a="1"/>
  <c r="M31" i="10" s="1"/>
  <c r="C50" i="12"/>
  <c r="C58" i="12" s="1"/>
  <c r="D40" i="12"/>
  <c r="N38" i="12"/>
  <c r="O38" i="12"/>
  <c r="L46" i="12"/>
  <c r="C79" i="8"/>
  <c r="G79" i="8"/>
  <c r="K79" i="8"/>
  <c r="E82" i="8"/>
  <c r="I82" i="8"/>
  <c r="B85" i="8"/>
  <c r="B73" i="8"/>
  <c r="B112" i="8" s="1"/>
  <c r="C112" i="8" s="1"/>
  <c r="C82" i="8"/>
  <c r="B79" i="8"/>
  <c r="F79" i="8"/>
  <c r="D82" i="8"/>
  <c r="D79" i="8"/>
  <c r="H79" i="8"/>
  <c r="L79" i="8"/>
  <c r="F82" i="8"/>
  <c r="J82" i="8"/>
  <c r="B82" i="8"/>
  <c r="G82" i="8"/>
  <c r="J79" i="8"/>
  <c r="H82" i="8"/>
  <c r="E79" i="8"/>
  <c r="I79" i="8"/>
  <c r="K82" i="8"/>
  <c r="B17" i="8"/>
  <c r="L82" i="8"/>
  <c r="F28" i="8"/>
  <c r="J28" i="8"/>
  <c r="I28" i="8"/>
  <c r="E28" i="8"/>
  <c r="L28" i="8"/>
  <c r="H28" i="8"/>
  <c r="D28" i="8"/>
  <c r="K28" i="8"/>
  <c r="G28" i="8"/>
  <c r="C28" i="8"/>
  <c r="C113" i="8" l="1"/>
  <c r="D112" i="8"/>
  <c r="D42" i="12"/>
  <c r="N40" i="12"/>
  <c r="O40" i="12"/>
  <c r="L54" i="12"/>
  <c r="D33" i="10"/>
  <c r="O28" i="8"/>
  <c r="N28" i="8"/>
  <c r="C35" i="10"/>
  <c r="E112" i="8" l="1"/>
  <c r="D113" i="8"/>
  <c r="D73" i="8" s="1"/>
  <c r="C64" i="8"/>
  <c r="C61" i="8" s="1"/>
  <c r="C73" i="8"/>
  <c r="D46" i="12"/>
  <c r="N42" i="12"/>
  <c r="E50" i="12"/>
  <c r="E58" i="12" s="1"/>
  <c r="J50" i="12"/>
  <c r="J58" i="12" s="1"/>
  <c r="F50" i="12"/>
  <c r="F58" i="12" s="1"/>
  <c r="K50" i="12"/>
  <c r="K58" i="12" s="1"/>
  <c r="I50" i="12"/>
  <c r="I58" i="12" s="1"/>
  <c r="G50" i="12"/>
  <c r="G58" i="12" s="1"/>
  <c r="D50" i="12"/>
  <c r="D58" i="12" s="1"/>
  <c r="H50" i="12"/>
  <c r="H58" i="12" s="1"/>
  <c r="M50" i="12"/>
  <c r="M58" i="12" s="1"/>
  <c r="O42" i="12"/>
  <c r="L50" i="12"/>
  <c r="L58" i="12" s="1"/>
  <c r="D35" i="10"/>
  <c r="C37" i="10"/>
  <c r="C45" i="10" l="1"/>
  <c r="C53" i="10" s="1"/>
  <c r="C41" i="10"/>
  <c r="C49" i="10" s="1"/>
  <c r="C17" i="8"/>
  <c r="D17" i="8"/>
  <c r="C67" i="8"/>
  <c r="D64" i="8"/>
  <c r="D61" i="8" s="1"/>
  <c r="E113" i="8"/>
  <c r="F112" i="8"/>
  <c r="D54" i="12"/>
  <c r="N54" i="12"/>
  <c r="N46" i="12"/>
  <c r="O46" i="12"/>
  <c r="O54" i="12"/>
  <c r="D37" i="10"/>
  <c r="D41" i="10" s="1"/>
  <c r="E33" i="10"/>
  <c r="D49" i="10" l="1"/>
  <c r="D45" i="10"/>
  <c r="D53" i="10" s="1"/>
  <c r="C70" i="8"/>
  <c r="C85" i="8"/>
  <c r="F113" i="8"/>
  <c r="F64" i="8" s="1"/>
  <c r="G112" i="8"/>
  <c r="E73" i="8"/>
  <c r="E64" i="8"/>
  <c r="E61" i="8" s="1"/>
  <c r="D67" i="8"/>
  <c r="E35" i="10"/>
  <c r="C27" i="8" l="1"/>
  <c r="C24" i="8"/>
  <c r="F61" i="8"/>
  <c r="D70" i="8"/>
  <c r="D85" i="8"/>
  <c r="E17" i="8"/>
  <c r="F67" i="8"/>
  <c r="G113" i="8"/>
  <c r="H112" i="8"/>
  <c r="E67" i="8"/>
  <c r="F73" i="8"/>
  <c r="N30" i="10"/>
  <c r="F33" i="10"/>
  <c r="E37" i="10"/>
  <c r="B67" i="4"/>
  <c r="C70" i="4" s="1"/>
  <c r="C24" i="4" s="1"/>
  <c r="C79" i="4"/>
  <c r="G79" i="4"/>
  <c r="K79" i="4"/>
  <c r="E82" i="4"/>
  <c r="I82" i="4"/>
  <c r="B85" i="4"/>
  <c r="I79" i="4"/>
  <c r="G82" i="4"/>
  <c r="B79" i="4"/>
  <c r="H82" i="4"/>
  <c r="D79" i="4"/>
  <c r="H79" i="4"/>
  <c r="L79" i="4"/>
  <c r="F82" i="4"/>
  <c r="J82" i="4"/>
  <c r="B82" i="4"/>
  <c r="B70" i="4"/>
  <c r="E79" i="4"/>
  <c r="C82" i="4"/>
  <c r="K82" i="4"/>
  <c r="F79" i="4"/>
  <c r="J79" i="4"/>
  <c r="D82" i="4"/>
  <c r="L82" i="4"/>
  <c r="D17" i="4"/>
  <c r="D114" i="4" s="1"/>
  <c r="D115" i="4" s="1"/>
  <c r="D28" i="4"/>
  <c r="H28" i="4"/>
  <c r="L28" i="4"/>
  <c r="E28" i="4"/>
  <c r="I28" i="4"/>
  <c r="C28" i="4"/>
  <c r="F28" i="4"/>
  <c r="J28" i="4"/>
  <c r="G28" i="4"/>
  <c r="K28" i="4"/>
  <c r="E17" i="4"/>
  <c r="I17" i="4"/>
  <c r="F17" i="4"/>
  <c r="J17" i="4"/>
  <c r="L17" i="4"/>
  <c r="G17" i="4"/>
  <c r="K17" i="4"/>
  <c r="H17" i="4"/>
  <c r="D73" i="4" l="1"/>
  <c r="D64" i="4"/>
  <c r="D61" i="4" s="1"/>
  <c r="C27" i="4"/>
  <c r="D27" i="8"/>
  <c r="D24" i="8"/>
  <c r="E41" i="10"/>
  <c r="E45" i="10"/>
  <c r="E53" i="10" s="1"/>
  <c r="E70" i="8"/>
  <c r="E85" i="8"/>
  <c r="F17" i="8"/>
  <c r="F85" i="8"/>
  <c r="F70" i="8"/>
  <c r="I112" i="8"/>
  <c r="H113" i="8"/>
  <c r="H64" i="8" s="1"/>
  <c r="G73" i="8"/>
  <c r="G64" i="8"/>
  <c r="G61" i="8" s="1"/>
  <c r="E114" i="4"/>
  <c r="E115" i="4" s="1"/>
  <c r="E73" i="4" s="1"/>
  <c r="F35" i="10"/>
  <c r="N28" i="4"/>
  <c r="O28" i="4"/>
  <c r="G33" i="10"/>
  <c r="H33" i="10"/>
  <c r="H35" i="10" s="1"/>
  <c r="H37" i="10" s="1"/>
  <c r="H41" i="10" s="1"/>
  <c r="H49" i="10" s="1"/>
  <c r="E64" i="4" l="1"/>
  <c r="E61" i="4" s="1"/>
  <c r="F24" i="8"/>
  <c r="F27" i="8"/>
  <c r="E24" i="8"/>
  <c r="E27" i="8"/>
  <c r="E49" i="10"/>
  <c r="H61" i="8"/>
  <c r="G17" i="8"/>
  <c r="H67" i="8"/>
  <c r="G67" i="8"/>
  <c r="J112" i="8"/>
  <c r="I113" i="8"/>
  <c r="I64" i="8" s="1"/>
  <c r="I61" i="8" s="1"/>
  <c r="H73" i="8"/>
  <c r="D67" i="4"/>
  <c r="F114" i="4"/>
  <c r="F115" i="4" s="1"/>
  <c r="F37" i="10"/>
  <c r="N33" i="10"/>
  <c r="N31" i="10"/>
  <c r="G35" i="10"/>
  <c r="N35" i="10" s="1"/>
  <c r="I33" i="10"/>
  <c r="F73" i="4" l="1"/>
  <c r="F64" i="4"/>
  <c r="F61" i="4" s="1"/>
  <c r="F41" i="10"/>
  <c r="F45" i="10"/>
  <c r="F53" i="10" s="1"/>
  <c r="G70" i="8"/>
  <c r="G85" i="8"/>
  <c r="H70" i="8"/>
  <c r="H85" i="8"/>
  <c r="H17" i="8"/>
  <c r="J113" i="8"/>
  <c r="J73" i="8" s="1"/>
  <c r="K112" i="8"/>
  <c r="I67" i="8"/>
  <c r="I73" i="8"/>
  <c r="D70" i="4"/>
  <c r="D24" i="4" s="1"/>
  <c r="D85" i="4"/>
  <c r="E67" i="4"/>
  <c r="G114" i="4"/>
  <c r="G115" i="4" s="1"/>
  <c r="G64" i="4" s="1"/>
  <c r="I35" i="10"/>
  <c r="G37" i="10"/>
  <c r="G41" i="10" s="1"/>
  <c r="G49" i="10" s="1"/>
  <c r="J33" i="10"/>
  <c r="J35" i="10" s="1"/>
  <c r="J64" i="8" l="1"/>
  <c r="J61" i="8" s="1"/>
  <c r="G73" i="4"/>
  <c r="D27" i="4"/>
  <c r="G27" i="8"/>
  <c r="G24" i="8"/>
  <c r="H27" i="8"/>
  <c r="H24" i="8"/>
  <c r="G45" i="10"/>
  <c r="G53" i="10" s="1"/>
  <c r="H45" i="10"/>
  <c r="H53" i="10" s="1"/>
  <c r="N41" i="10"/>
  <c r="F49" i="10"/>
  <c r="N49" i="10"/>
  <c r="I70" i="8"/>
  <c r="I85" i="8"/>
  <c r="I17" i="8"/>
  <c r="K113" i="8"/>
  <c r="L112" i="8"/>
  <c r="J17" i="8"/>
  <c r="E70" i="4"/>
  <c r="E24" i="4" s="1"/>
  <c r="E85" i="4"/>
  <c r="F67" i="4"/>
  <c r="H114" i="4"/>
  <c r="H115" i="4" s="1"/>
  <c r="G61" i="4"/>
  <c r="L33" i="10"/>
  <c r="L35" i="10" s="1"/>
  <c r="L37" i="10" s="1"/>
  <c r="L41" i="10" s="1"/>
  <c r="L49" i="10" s="1"/>
  <c r="N37" i="10"/>
  <c r="I37" i="10"/>
  <c r="I45" i="10" s="1"/>
  <c r="I53" i="10" s="1"/>
  <c r="J37" i="10"/>
  <c r="J41" i="10" s="1"/>
  <c r="J49" i="10" s="1"/>
  <c r="J67" i="8" l="1"/>
  <c r="J85" i="8" s="1"/>
  <c r="H73" i="4"/>
  <c r="H64" i="4"/>
  <c r="H61" i="4" s="1"/>
  <c r="E27" i="4"/>
  <c r="I24" i="8"/>
  <c r="I27" i="8"/>
  <c r="I41" i="10"/>
  <c r="J45" i="10"/>
  <c r="J53" i="10" s="1"/>
  <c r="L113" i="8"/>
  <c r="L64" i="8" s="1"/>
  <c r="M112" i="8"/>
  <c r="M113" i="8" s="1"/>
  <c r="M73" i="8" s="1"/>
  <c r="K73" i="8"/>
  <c r="K64" i="8"/>
  <c r="K61" i="8" s="1"/>
  <c r="F70" i="4"/>
  <c r="F24" i="4" s="1"/>
  <c r="F85" i="4"/>
  <c r="C133" i="4"/>
  <c r="G67" i="4"/>
  <c r="I114" i="4"/>
  <c r="I115" i="4" s="1"/>
  <c r="I64" i="4" s="1"/>
  <c r="O31" i="10"/>
  <c r="O30" i="10"/>
  <c r="K33" i="10"/>
  <c r="N30" i="4"/>
  <c r="J70" i="8" l="1"/>
  <c r="J24" i="8" s="1"/>
  <c r="I73" i="4"/>
  <c r="F27" i="4"/>
  <c r="I49" i="10"/>
  <c r="L61" i="8"/>
  <c r="K17" i="8"/>
  <c r="K67" i="8"/>
  <c r="L67" i="8"/>
  <c r="L73" i="8"/>
  <c r="M17" i="8" s="1"/>
  <c r="M64" i="8"/>
  <c r="M61" i="8" s="1"/>
  <c r="G70" i="4"/>
  <c r="G24" i="4" s="1"/>
  <c r="G85" i="4"/>
  <c r="H67" i="4"/>
  <c r="J114" i="4"/>
  <c r="J115" i="4" s="1"/>
  <c r="J73" i="4" s="1"/>
  <c r="I61" i="4"/>
  <c r="D133" i="4"/>
  <c r="M33" i="10"/>
  <c r="K35" i="10"/>
  <c r="J27" i="8" l="1"/>
  <c r="J64" i="4"/>
  <c r="J61" i="4" s="1"/>
  <c r="G27" i="4"/>
  <c r="L70" i="8"/>
  <c r="L85" i="8"/>
  <c r="K70" i="8"/>
  <c r="K85" i="8"/>
  <c r="L17" i="8"/>
  <c r="M67" i="8"/>
  <c r="M85" i="8" s="1"/>
  <c r="H70" i="4"/>
  <c r="H24" i="4" s="1"/>
  <c r="N24" i="4" s="1"/>
  <c r="H85" i="4"/>
  <c r="I67" i="4"/>
  <c r="K114" i="4"/>
  <c r="K115" i="4" s="1"/>
  <c r="K64" i="4" s="1"/>
  <c r="E133" i="4"/>
  <c r="F133" i="4"/>
  <c r="M35" i="10"/>
  <c r="M37" i="10" s="1"/>
  <c r="O33" i="10"/>
  <c r="K37" i="10"/>
  <c r="K73" i="4" l="1"/>
  <c r="H27" i="4"/>
  <c r="L27" i="8"/>
  <c r="L24" i="8"/>
  <c r="K24" i="8"/>
  <c r="K27" i="8"/>
  <c r="K41" i="10"/>
  <c r="K45" i="10"/>
  <c r="K53" i="10" s="1"/>
  <c r="L45" i="10"/>
  <c r="L53" i="10" s="1"/>
  <c r="M41" i="10"/>
  <c r="M49" i="10" s="1"/>
  <c r="M45" i="10"/>
  <c r="M53" i="10" s="1"/>
  <c r="M70" i="8"/>
  <c r="I70" i="4"/>
  <c r="I24" i="4" s="1"/>
  <c r="I85" i="4"/>
  <c r="J67" i="4"/>
  <c r="L114" i="4"/>
  <c r="L115" i="4" s="1"/>
  <c r="L73" i="4" s="1"/>
  <c r="O35" i="10"/>
  <c r="O37" i="10"/>
  <c r="L64" i="4" l="1"/>
  <c r="I27" i="4"/>
  <c r="M24" i="8"/>
  <c r="M27" i="8"/>
  <c r="K49" i="10"/>
  <c r="O41" i="10"/>
  <c r="O49" i="10"/>
  <c r="J70" i="4"/>
  <c r="J24" i="4" s="1"/>
  <c r="J85" i="4"/>
  <c r="M114" i="4"/>
  <c r="G133" i="4"/>
  <c r="O30" i="4"/>
  <c r="J27" i="4" l="1"/>
  <c r="K67" i="4"/>
  <c r="K61" i="4"/>
  <c r="M115" i="4"/>
  <c r="H133" i="4"/>
  <c r="N27" i="4"/>
  <c r="M64" i="4" l="1"/>
  <c r="M73" i="4"/>
  <c r="L67" i="4"/>
  <c r="L61" i="4"/>
  <c r="K70" i="4"/>
  <c r="K24" i="4" s="1"/>
  <c r="K85" i="4"/>
  <c r="I133" i="4"/>
  <c r="K27" i="4" l="1"/>
  <c r="L70" i="4"/>
  <c r="L24" i="4" s="1"/>
  <c r="L85" i="4"/>
  <c r="M61" i="4"/>
  <c r="J133" i="4"/>
  <c r="L27" i="4" l="1"/>
  <c r="M67" i="4"/>
  <c r="K133" i="4"/>
  <c r="M85" i="4" l="1"/>
  <c r="M70" i="4"/>
  <c r="M24" i="4" s="1"/>
  <c r="O24" i="4" s="1"/>
  <c r="L133" i="4"/>
  <c r="M27" i="4" l="1"/>
  <c r="O27" i="4" s="1"/>
  <c r="M133" i="4" l="1"/>
  <c r="D31" i="4" l="1" a="1"/>
  <c r="D31" i="4" s="1"/>
  <c r="K31" i="4" a="1"/>
  <c r="K31" i="4" s="1"/>
  <c r="K33" i="4" s="1"/>
  <c r="K35" i="4" s="1"/>
  <c r="K37" i="4" s="1"/>
  <c r="K41" i="4" s="1"/>
  <c r="K49" i="4" s="1"/>
  <c r="M31" i="4" a="1"/>
  <c r="M31" i="4" s="1"/>
  <c r="M33" i="4" s="1"/>
  <c r="M35" i="4" s="1"/>
  <c r="M37" i="4" s="1"/>
  <c r="M41" i="4" s="1"/>
  <c r="M49" i="4" s="1"/>
  <c r="C31" i="4" a="1"/>
  <c r="C31" i="4" s="1"/>
  <c r="C33" i="4" s="1"/>
  <c r="C35" i="4" s="1"/>
  <c r="C37" i="4" s="1"/>
  <c r="C41" i="4" s="1"/>
  <c r="C49" i="4" s="1"/>
  <c r="G31" i="4" a="1"/>
  <c r="G31" i="4" s="1"/>
  <c r="G33" i="4" s="1"/>
  <c r="G35" i="4" s="1"/>
  <c r="G37" i="4" s="1"/>
  <c r="G41" i="4" s="1"/>
  <c r="G49" i="4" s="1"/>
  <c r="I31" i="4" a="1"/>
  <c r="I31" i="4" s="1"/>
  <c r="I33" i="4" s="1"/>
  <c r="I35" i="4" s="1"/>
  <c r="I37" i="4" s="1"/>
  <c r="I41" i="4" s="1"/>
  <c r="I49" i="4" s="1"/>
  <c r="L31" i="4" a="1"/>
  <c r="L31" i="4" s="1"/>
  <c r="L33" i="4" s="1"/>
  <c r="L35" i="4" s="1"/>
  <c r="L37" i="4" s="1"/>
  <c r="L41" i="4" s="1"/>
  <c r="H31" i="4" a="1"/>
  <c r="H31" i="4" s="1"/>
  <c r="H33" i="4" s="1"/>
  <c r="H35" i="4" s="1"/>
  <c r="J31" i="4" a="1"/>
  <c r="J31" i="4" s="1"/>
  <c r="J33" i="4" s="1"/>
  <c r="J35" i="4" s="1"/>
  <c r="J37" i="4" s="1"/>
  <c r="J41" i="4" s="1"/>
  <c r="J49" i="4" s="1"/>
  <c r="E31" i="4" a="1"/>
  <c r="E31" i="4" s="1"/>
  <c r="F31" i="4" a="1"/>
  <c r="F31" i="4" s="1"/>
  <c r="F33" i="4" s="1"/>
  <c r="F35" i="4" s="1"/>
  <c r="F37" i="4" s="1"/>
  <c r="F41" i="4" s="1"/>
  <c r="F49" i="4" s="1"/>
  <c r="N31" i="4" l="1"/>
  <c r="C45" i="4"/>
  <c r="C53" i="4" s="1"/>
  <c r="E33" i="4"/>
  <c r="E35" i="4" s="1"/>
  <c r="E37" i="4" s="1"/>
  <c r="E41" i="4" s="1"/>
  <c r="E49" i="4" s="1"/>
  <c r="D33" i="4"/>
  <c r="D35" i="4" s="1"/>
  <c r="D37" i="4" s="1"/>
  <c r="O31" i="4"/>
  <c r="H37" i="4"/>
  <c r="L49" i="4"/>
  <c r="O37" i="4" l="1"/>
  <c r="E45" i="4"/>
  <c r="E53" i="4" s="1"/>
  <c r="N33" i="4"/>
  <c r="D41" i="4"/>
  <c r="D49" i="4" s="1"/>
  <c r="O33" i="4"/>
  <c r="O35" i="4"/>
  <c r="N35" i="4"/>
  <c r="N37" i="4"/>
  <c r="D45" i="4"/>
  <c r="D53" i="4" s="1"/>
  <c r="F45" i="4"/>
  <c r="F53" i="4" s="1"/>
  <c r="G45" i="4"/>
  <c r="G53" i="4" s="1"/>
  <c r="H41" i="4"/>
  <c r="H45" i="4"/>
  <c r="H53" i="4" s="1"/>
  <c r="M45" i="4"/>
  <c r="M53" i="4" s="1"/>
  <c r="J45" i="4"/>
  <c r="J53" i="4" s="1"/>
  <c r="K45" i="4"/>
  <c r="K53" i="4" s="1"/>
  <c r="L45" i="4"/>
  <c r="L53" i="4" s="1"/>
  <c r="I45" i="4"/>
  <c r="I53" i="4" s="1"/>
  <c r="O49" i="4" l="1"/>
  <c r="N49" i="4"/>
  <c r="N41" i="4"/>
  <c r="O41" i="4"/>
  <c r="H49" i="4"/>
  <c r="N24" i="8" l="1"/>
  <c r="N27" i="8" l="1"/>
  <c r="O24" i="8" l="1"/>
  <c r="O27" i="8"/>
  <c r="O30" i="8"/>
  <c r="D131" i="8"/>
  <c r="N30" i="8"/>
  <c r="F131" i="8"/>
  <c r="J131" i="8"/>
  <c r="G131" i="8"/>
  <c r="K131" i="8"/>
  <c r="E131" i="8"/>
  <c r="M131" i="8"/>
  <c r="I131" i="8"/>
  <c r="H131" i="8"/>
  <c r="L131" i="8"/>
  <c r="C131" i="8"/>
  <c r="D31" i="8" l="1" a="1"/>
  <c r="D31" i="8" s="1"/>
  <c r="D33" i="8" s="1"/>
  <c r="E31" i="8" a="1"/>
  <c r="E31" i="8" s="1"/>
  <c r="E33" i="8" s="1"/>
  <c r="E35" i="8" s="1"/>
  <c r="E37" i="8" s="1"/>
  <c r="E41" i="8" s="1"/>
  <c r="E49" i="8" s="1"/>
  <c r="F31" i="8" a="1"/>
  <c r="F31" i="8" s="1"/>
  <c r="F33" i="8" s="1"/>
  <c r="F35" i="8" s="1"/>
  <c r="F37" i="8" s="1"/>
  <c r="F41" i="8" s="1"/>
  <c r="F49" i="8" s="1"/>
  <c r="G31" i="8" a="1"/>
  <c r="G31" i="8" s="1"/>
  <c r="G33" i="8" s="1"/>
  <c r="G35" i="8" s="1"/>
  <c r="G37" i="8" s="1"/>
  <c r="G41" i="8" s="1"/>
  <c r="G49" i="8" s="1"/>
  <c r="H31" i="8" a="1"/>
  <c r="H31" i="8" s="1"/>
  <c r="H33" i="8" s="1"/>
  <c r="H35" i="8" s="1"/>
  <c r="H37" i="8" s="1"/>
  <c r="H41" i="8" s="1"/>
  <c r="H49" i="8" s="1"/>
  <c r="I31" i="8" a="1"/>
  <c r="I31" i="8" s="1"/>
  <c r="I33" i="8" s="1"/>
  <c r="I35" i="8" s="1"/>
  <c r="I37" i="8" s="1"/>
  <c r="I41" i="8" s="1"/>
  <c r="I49" i="8" s="1"/>
  <c r="J31" i="8" a="1"/>
  <c r="J31" i="8" s="1"/>
  <c r="J33" i="8" s="1"/>
  <c r="J35" i="8" s="1"/>
  <c r="J37" i="8" s="1"/>
  <c r="J41" i="8" s="1"/>
  <c r="J49" i="8" s="1"/>
  <c r="K31" i="8" a="1"/>
  <c r="K31" i="8" s="1"/>
  <c r="K33" i="8" s="1"/>
  <c r="K35" i="8" s="1"/>
  <c r="K37" i="8" s="1"/>
  <c r="K41" i="8" s="1"/>
  <c r="K49" i="8" s="1"/>
  <c r="L31" i="8" a="1"/>
  <c r="L31" i="8" s="1"/>
  <c r="L33" i="8" s="1"/>
  <c r="L35" i="8" s="1"/>
  <c r="L37" i="8" s="1"/>
  <c r="L41" i="8" s="1"/>
  <c r="L49" i="8" s="1"/>
  <c r="M31" i="8" a="1"/>
  <c r="M31" i="8" s="1"/>
  <c r="M33" i="8" s="1"/>
  <c r="M35" i="8" s="1"/>
  <c r="M37" i="8" s="1"/>
  <c r="M41" i="8" s="1"/>
  <c r="M49" i="8" s="1"/>
  <c r="C31" i="8" a="1"/>
  <c r="C31" i="8" s="1"/>
  <c r="C33" i="8" s="1"/>
  <c r="C35" i="8" s="1"/>
  <c r="C37" i="8" s="1"/>
  <c r="C45" i="8" l="1"/>
  <c r="C53" i="8" s="1"/>
  <c r="C41" i="8"/>
  <c r="C49" i="8" s="1"/>
  <c r="D35" i="8"/>
  <c r="O33" i="8"/>
  <c r="N33" i="8"/>
  <c r="O31" i="8"/>
  <c r="N31" i="8"/>
  <c r="D37" i="8" l="1"/>
  <c r="O37" i="8" s="1"/>
  <c r="N35" i="8"/>
  <c r="O35" i="8"/>
  <c r="D41" i="8" l="1"/>
  <c r="N37" i="8"/>
  <c r="M45" i="8"/>
  <c r="M53" i="8" s="1"/>
  <c r="J45" i="8"/>
  <c r="J53" i="8" s="1"/>
  <c r="E45" i="8"/>
  <c r="E53" i="8" s="1"/>
  <c r="K45" i="8"/>
  <c r="K53" i="8" s="1"/>
  <c r="F45" i="8"/>
  <c r="F53" i="8" s="1"/>
  <c r="L45" i="8"/>
  <c r="L53" i="8" s="1"/>
  <c r="H45" i="8"/>
  <c r="H53" i="8" s="1"/>
  <c r="G45" i="8"/>
  <c r="G53" i="8" s="1"/>
  <c r="D45" i="8"/>
  <c r="D53" i="8" s="1"/>
  <c r="I45" i="8"/>
  <c r="I53" i="8" s="1"/>
  <c r="N41" i="8" l="1"/>
  <c r="D49" i="8"/>
  <c r="O49" i="8"/>
  <c r="N49" i="8"/>
  <c r="O4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<sst xmlns="http://schemas.openxmlformats.org/spreadsheetml/2006/main" count="866" uniqueCount="123">
  <si>
    <t>Mandatory outlays</t>
  </si>
  <si>
    <t>____</t>
  </si>
  <si>
    <t>Lower interest rates</t>
  </si>
  <si>
    <t>n.a.</t>
  </si>
  <si>
    <t>Contents</t>
  </si>
  <si>
    <t>Caveats</t>
  </si>
  <si>
    <t>About This Workbook</t>
  </si>
  <si>
    <t>Debt service</t>
  </si>
  <si>
    <t>c. The employment cost index for wages and salaries of workers in private industry.</t>
  </si>
  <si>
    <r>
      <t>Discretionary outlays</t>
    </r>
    <r>
      <rPr>
        <vertAlign val="superscript"/>
        <sz val="11"/>
        <rFont val="Arial"/>
        <family val="2"/>
      </rPr>
      <t>a</t>
    </r>
  </si>
  <si>
    <t>Higher interest rates</t>
  </si>
  <si>
    <t>3. Interactive Table: How Changes in Interest Rates Might Affect the Federal Budget</t>
  </si>
  <si>
    <t>1. Interactive Table: How Changes in Productivity Growth Might Affect the Federal Budget</t>
  </si>
  <si>
    <r>
      <t>Discretionary outlays</t>
    </r>
    <r>
      <rPr>
        <vertAlign val="superscript"/>
        <sz val="11"/>
        <rFont val="Arial"/>
        <family val="2"/>
      </rPr>
      <t>b</t>
    </r>
  </si>
  <si>
    <t>d. The employment cost index for wages and salaries of workers in private industry.</t>
  </si>
  <si>
    <t>Total</t>
  </si>
  <si>
    <t>c. Measured using the GDP price index.</t>
  </si>
  <si>
    <t>b. Measured using the GDP price index.</t>
  </si>
  <si>
    <t>b. Discretionary outlays do not change in the user-specified scenario.</t>
  </si>
  <si>
    <t>a. Discretionary outlays do not change in this scenario.</t>
  </si>
  <si>
    <t>GDP = gross domestic product; n.a. = not applicable.</t>
  </si>
  <si>
    <t>User-specified scenario</t>
  </si>
  <si>
    <r>
      <t>User-specified scenario</t>
    </r>
    <r>
      <rPr>
        <vertAlign val="superscript"/>
        <sz val="11"/>
        <rFont val="Arial"/>
        <family val="2"/>
      </rPr>
      <t>a</t>
    </r>
  </si>
  <si>
    <t>2. Interactive Table: How Changes in Labor Force Growth Might Affect the Federal Budget</t>
  </si>
  <si>
    <t>Real values are nominal values that have been adjusted to remove the effects of changes in prices.</t>
  </si>
  <si>
    <t>Unless otherwise noted, economic indicators are calendar year averages.</t>
  </si>
  <si>
    <t>Parameters</t>
  </si>
  <si>
    <t>Offsets</t>
  </si>
  <si>
    <t>Receipts Matrix</t>
  </si>
  <si>
    <t>Debt Service Matrix</t>
  </si>
  <si>
    <t>Discretionary outlays</t>
  </si>
  <si>
    <t>Deficit for Debt Service</t>
  </si>
  <si>
    <t>Data source: Congressional Budget Office.</t>
  </si>
  <si>
    <t>Labor Force</t>
  </si>
  <si>
    <t>Real GDP</t>
  </si>
  <si>
    <t>Interest Rates</t>
  </si>
  <si>
    <t>Unadjusted Labor Force</t>
  </si>
  <si>
    <t>Productivity Index Scenario</t>
  </si>
  <si>
    <t>Productivity Index Base</t>
  </si>
  <si>
    <t>Productivity Deviation</t>
  </si>
  <si>
    <t>Adjusted Labor Force Deviation</t>
  </si>
  <si>
    <r>
      <t>Higher inflation</t>
    </r>
    <r>
      <rPr>
        <vertAlign val="superscript"/>
        <sz val="11"/>
        <rFont val="Arial"/>
        <family val="2"/>
      </rPr>
      <t>a</t>
    </r>
  </si>
  <si>
    <t>Interest Change Matrix</t>
  </si>
  <si>
    <t>Interest Rate Change</t>
  </si>
  <si>
    <t>Net Interest Residual</t>
  </si>
  <si>
    <t>Inflation Change Matrix</t>
  </si>
  <si>
    <t>Inflation Rate Change</t>
  </si>
  <si>
    <r>
      <t>4. Interactive Table: How Changes in Inflation and Interest Rates Might Affect</t>
    </r>
    <r>
      <rPr>
        <b/>
        <sz val="11"/>
        <color rgb="FFFF0000"/>
        <rFont val="Arial"/>
        <family val="2"/>
      </rPr>
      <t xml:space="preserve"> </t>
    </r>
    <r>
      <rPr>
        <b/>
        <sz val="11"/>
        <rFont val="Arial"/>
        <family val="2"/>
      </rPr>
      <t>the Federal Budget</t>
    </r>
  </si>
  <si>
    <t>4. Interactive Table: How Changes in Inflation and Interest Rates Might Affect the Federal Budget</t>
  </si>
  <si>
    <t>Net interest outlays</t>
  </si>
  <si>
    <t>Subtotal, net interest outlays</t>
  </si>
  <si>
    <t>Effects from changes in interest rates</t>
  </si>
  <si>
    <r>
      <t>Effects from changes in inflation</t>
    </r>
    <r>
      <rPr>
        <vertAlign val="superscript"/>
        <sz val="11"/>
        <rFont val="Arial"/>
        <family val="2"/>
      </rPr>
      <t>c</t>
    </r>
  </si>
  <si>
    <t>c. Includes a small interaction effect between interest rates and inflation.</t>
  </si>
  <si>
    <t>a. Includes a small interaction effect between higher interest rates and inflation.</t>
  </si>
  <si>
    <t>Debt Service Residual</t>
  </si>
  <si>
    <t>Inflation Change Residual</t>
  </si>
  <si>
    <t>User-specified scenario for annual productivity growth</t>
  </si>
  <si>
    <r>
      <t>Productivity growth (percent)</t>
    </r>
    <r>
      <rPr>
        <b/>
        <vertAlign val="superscript"/>
        <sz val="11"/>
        <rFont val="Arial"/>
        <family val="2"/>
      </rPr>
      <t>a</t>
    </r>
  </si>
  <si>
    <t>Changes in revenues</t>
  </si>
  <si>
    <t>Budgetary effects (billions of dollars)</t>
  </si>
  <si>
    <t>Changes in outlays</t>
  </si>
  <si>
    <t>Total change in outlays</t>
  </si>
  <si>
    <t>Increase (-) or decrease in the deficit 
relative to CBO's baseline</t>
  </si>
  <si>
    <t>Deficit (-) or surplus</t>
  </si>
  <si>
    <t>Debt held by the public</t>
  </si>
  <si>
    <t>Deficit (-) or surplus (percentage of GDP)</t>
  </si>
  <si>
    <t>Debt held by the public (percentage of GDP)</t>
  </si>
  <si>
    <t>Real GDP growth (percent)</t>
  </si>
  <si>
    <t>Real GDP (billions of 2017 dollars)</t>
  </si>
  <si>
    <t>Nominal GDP (billions of dollars)</t>
  </si>
  <si>
    <t>Nominal GDP (billions of dollars, by fiscal year)</t>
  </si>
  <si>
    <t>Labor force (millions of people)</t>
  </si>
  <si>
    <t>Interest rate on 10-year Treasury notes (percent)</t>
  </si>
  <si>
    <r>
      <t>Inflation (percent)</t>
    </r>
    <r>
      <rPr>
        <b/>
        <vertAlign val="superscript"/>
        <sz val="11"/>
        <rFont val="Arial"/>
        <family val="2"/>
      </rPr>
      <t>c</t>
    </r>
  </si>
  <si>
    <t>GDP price index (2017 = 100)</t>
  </si>
  <si>
    <r>
      <t>Employment cost index (December 2005 = 100)</t>
    </r>
    <r>
      <rPr>
        <b/>
        <vertAlign val="superscript"/>
        <sz val="11"/>
        <rFont val="Arial"/>
        <family val="2"/>
      </rPr>
      <t>d</t>
    </r>
  </si>
  <si>
    <t>User-specified scenario for annual labor force growth</t>
  </si>
  <si>
    <t>Labor force growth (percent)</t>
  </si>
  <si>
    <t>User-specified scenario for interest rates</t>
  </si>
  <si>
    <r>
      <t>Interest rate on 10-year Treasury notes (percent)</t>
    </r>
    <r>
      <rPr>
        <b/>
        <vertAlign val="superscript"/>
        <sz val="11"/>
        <rFont val="Arial"/>
        <family val="2"/>
      </rPr>
      <t>a</t>
    </r>
  </si>
  <si>
    <r>
      <t>Inflation (percent)</t>
    </r>
    <r>
      <rPr>
        <b/>
        <vertAlign val="superscript"/>
        <sz val="11"/>
        <rFont val="Arial"/>
        <family val="2"/>
      </rPr>
      <t>b</t>
    </r>
  </si>
  <si>
    <r>
      <t>Employment cost index (December 2005 = 100)</t>
    </r>
    <r>
      <rPr>
        <b/>
        <vertAlign val="superscript"/>
        <sz val="11"/>
        <rFont val="Arial"/>
        <family val="2"/>
      </rPr>
      <t>c</t>
    </r>
  </si>
  <si>
    <t>Billions of dollars</t>
  </si>
  <si>
    <r>
      <t>Inflation (percent)</t>
    </r>
    <r>
      <rPr>
        <b/>
        <vertAlign val="superscript"/>
        <sz val="11"/>
        <rFont val="Arial"/>
        <family val="2"/>
      </rPr>
      <t>a</t>
    </r>
  </si>
  <si>
    <r>
      <t>Interest rate on 10-year Treasury notes (percent)</t>
    </r>
    <r>
      <rPr>
        <b/>
        <vertAlign val="superscript"/>
        <sz val="11"/>
        <rFont val="Arial"/>
        <family val="2"/>
      </rPr>
      <t>b</t>
    </r>
  </si>
  <si>
    <t>User-specified scenario for inflation and interest rates</t>
  </si>
  <si>
    <t>a. Measured using the index for potential total factor productivity in the nonfarm business sector. Total factor productivity is calculated as the average real output per unit of combined labor and capital services. Although all productivity-related indexes change in this scenario, the table shows only the effects on the index for potential total factor productivity in the nonfarm business sector.</t>
  </si>
  <si>
    <t>a. Although all interest rates change in this scenario, the table shows only the effects on the interest rate on 10-year Treasury notes.</t>
  </si>
  <si>
    <t>a. Measured using the GDP price index. Although all wage and price indexes change in this scenario, the table shows only the effects on the GDP price index.</t>
  </si>
  <si>
    <t>b. Although all interest rates change in this scenario, the table shows only the effects on the interest rate on 10-year Treasury notes.</t>
  </si>
  <si>
    <t>2026-</t>
  </si>
  <si>
    <t>January 2025 baseline</t>
  </si>
  <si>
    <t>5. Illustrative Scenario: How Productivity Growth That Was 0.1 Percentage Point Slower Each Year Than It Is in CBO’s Forecast Might Aﬀect the Federal Budget</t>
  </si>
  <si>
    <t>6. Illustrative Scenario: How Labor Force Growth That Was 0.1 Percentage Point Slower Each Year Than It Is in CBO’s Forecast Might Aﬀect the Federal Budget</t>
  </si>
  <si>
    <t>7. Illustrative Scenario: How Interest Rates That Were 0.1 Percentage Point Higher Each Year Than They Are in CBO’s Forecast Might Aﬀect the Federal Budget</t>
  </si>
  <si>
    <t>8. Illustrative Scenario: How Inflation and Interest Rates That Were 0.1 Percentage Point Higher Each Year Than They Are in CBO’s Forecast Might Aﬀect the Federal Budget</t>
  </si>
  <si>
    <r>
      <t xml:space="preserve">This workbook allows users to define and analyze alternative economic scenarios by specifying differences in the values of four economic variables—productivity growth, labor force growth, interest rates, and inflation—relative to the values underlying the Congressional Budget Office’s most recent projections. Those projections were published in </t>
    </r>
    <r>
      <rPr>
        <i/>
        <sz val="11"/>
        <rFont val="Arial"/>
        <family val="2"/>
      </rPr>
      <t xml:space="preserve">The Budget and Economic Outlook: 2025 to 2035 </t>
    </r>
    <r>
      <rPr>
        <sz val="11"/>
        <rFont val="Arial"/>
        <family val="2"/>
      </rPr>
      <t xml:space="preserve">(www.cbo.gov/publication/60870). </t>
    </r>
  </si>
  <si>
    <t>Like the formulas for calculating the economic effects of user-specified changes, those underlying the budgetary effects are simplified. They do not account for the detailed changes in revenues and expenditures that factor into CBO’s comprehensive models.</t>
  </si>
  <si>
    <t>The formulas underlying this workbook were created specifically for these interactive tables and are meant only to provide results that approximate those CBO would produce using its broad set of economic and budget models. The formulas incorporate the effects of certain interactions between key economic indicators. In the interactive table for productivity growth, for example, estimated percentage-point changes in real GDP growth reflect not only the direct effect of changes in productivity growth specified by the user but also the effects of those changes on the labor supply. That formula for real GDP growth also reflects past changes in productivity growth to roughly capture the effects of changes in investment activity. Similarly, in the interactive table for labor force growth, the estimated effects on real GDP growth reflect how both the labor supply and investment activity respond to the user-specified changes. But CBO’s broad set of models would account for all of those effects in much greater detail.</t>
  </si>
  <si>
    <r>
      <t>Because the scalability of the rules of thumb is limited, only moderate changes in economic variables in this workbook will produce reasonable approximations of the estimates that CBO’s broader set of models would produce. To determine the limits of the workbook, CBO ran simulations using several values for year-by-year differences for each of the four variables. The agency found that the workbook produced plausible estimates when differences in productivity growth ranged from −0.5</t>
    </r>
    <r>
      <rPr>
        <sz val="11"/>
        <color theme="1"/>
        <rFont val="Aptos Narrow"/>
        <family val="2"/>
      </rPr>
      <t> </t>
    </r>
    <r>
      <rPr>
        <sz val="11"/>
        <color theme="1"/>
        <rFont val="Arial"/>
        <family val="2"/>
      </rPr>
      <t>percentage points to 0.5</t>
    </r>
    <r>
      <rPr>
        <sz val="11"/>
        <color theme="1"/>
        <rFont val="Aptos Narrow"/>
        <family val="2"/>
      </rPr>
      <t> </t>
    </r>
    <r>
      <rPr>
        <sz val="11"/>
        <color theme="1"/>
        <rFont val="Arial"/>
        <family val="2"/>
      </rPr>
      <t>percentage points, differences in labor force growth ranged from −0.75</t>
    </r>
    <r>
      <rPr>
        <sz val="11"/>
        <color theme="1"/>
        <rFont val="Aptos Narrow"/>
        <family val="2"/>
      </rPr>
      <t> </t>
    </r>
    <r>
      <rPr>
        <sz val="11"/>
        <color theme="1"/>
        <rFont val="Arial"/>
        <family val="2"/>
      </rPr>
      <t>percentage points to 0.75</t>
    </r>
    <r>
      <rPr>
        <sz val="11"/>
        <color theme="1"/>
        <rFont val="Aptos Narrow"/>
        <family val="2"/>
      </rPr>
      <t> </t>
    </r>
    <r>
      <rPr>
        <sz val="11"/>
        <color theme="1"/>
        <rFont val="Arial"/>
        <family val="2"/>
      </rPr>
      <t>percentage points, and differences in interest rates and inflation ranged from −1.0</t>
    </r>
    <r>
      <rPr>
        <sz val="11"/>
        <color theme="1"/>
        <rFont val="Aptos Narrow"/>
        <family val="2"/>
      </rPr>
      <t> </t>
    </r>
    <r>
      <rPr>
        <sz val="11"/>
        <color theme="1"/>
        <rFont val="Arial"/>
        <family val="2"/>
      </rPr>
      <t>percentage point to</t>
    </r>
    <r>
      <rPr>
        <sz val="11"/>
        <color theme="1"/>
        <rFont val="Aptos Narrow"/>
        <family val="2"/>
      </rPr>
      <t> </t>
    </r>
    <r>
      <rPr>
        <sz val="11"/>
        <color theme="1"/>
        <rFont val="Arial"/>
        <family val="2"/>
      </rPr>
      <t>1.0 percentage point. Any scenario with differences outside those ranges cannot be analyzed with this workbook and would require a more detailed analysis.</t>
    </r>
  </si>
  <si>
    <r>
      <t xml:space="preserve">This workbook supplements CBO’s report </t>
    </r>
    <r>
      <rPr>
        <i/>
        <sz val="11"/>
        <rFont val="Arial"/>
        <family val="2"/>
      </rPr>
      <t>How Changes in Economic Conditions Might Affect the Federal Budget: 2025 to 2035.</t>
    </r>
  </si>
  <si>
    <t>To create an alternative scenario for productivity growth, enter values between -0.5 percentage points and 0.5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</si>
  <si>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productivity growth 
relative to CBO’s January 2025 baseline
(percentage points)</t>
  </si>
  <si>
    <t>Increase (-) or decrease in the deficit 
relative to CBO’s baseline</t>
  </si>
  <si>
    <t>Economic indicators in CBO’s January 2025 baseline
and under the user-specified scenario</t>
  </si>
  <si>
    <t>To create an alternative scenario for labor force growth, enter values between -0.75 percentage points and 0.75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</si>
  <si>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labor force growth 
relative to CBO’s January 2025 baseline
(percentage points)</t>
  </si>
  <si>
    <t>a. The change in labor force growth is slightly different from the user-specified change because changes in the supply of labor would affect wage rates, which would in turn affect the growth of the labor force during the first five years of the agency’s forecast.</t>
  </si>
  <si>
    <t>Increase or decrease (-) in interest rates 
relative to CBO’s January 2025 baseline
(percentage points)</t>
  </si>
  <si>
    <t xml:space="preserve">These initial values are the same as those used to generate the illustrative scenario shown in Worksheet 8, “Inflation and Interest_CBO.” </t>
  </si>
  <si>
    <t xml:space="preserve">These initial values are the same as those used to generate the illustrative scenario shown in Worksheet 7, “Interest Rates_CBO.” </t>
  </si>
  <si>
    <t xml:space="preserve">These initial values are the same as those used to generate the illustrative scenario shown in Worksheet 6, “Labor Force_CBO.” </t>
  </si>
  <si>
    <t>These initial values are the same as those used to generate the illustrative scenario shown in Worksheet 5, “Productivity_CBO.”</t>
  </si>
  <si>
    <t>See the “Contents” worksheet for a brief discussion of the formulas used in these tables.</t>
  </si>
  <si>
    <t>To create an alternative scenario for inflation and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</si>
  <si>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inflation 
relative to CBO’s January 2025 baseline
(percentage points)</t>
  </si>
  <si>
    <t>CBO’s illustrative scenario</t>
  </si>
  <si>
    <t>Economic indicators in CBO’s January 2025 baseline
and under the illustrative scenario</t>
  </si>
  <si>
    <t>www.cbo.gov/publication/61198</t>
  </si>
  <si>
    <t>To create an alternative scenario for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</si>
  <si>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r>
      <t xml:space="preserve">CBO has long published “rules of thumb” that provide an idea of how changes in key economic variables would affect its projections. The rules of thumb are described in </t>
    </r>
    <r>
      <rPr>
        <i/>
        <sz val="11"/>
        <rFont val="Arial"/>
        <family val="2"/>
      </rPr>
      <t>How Changes in Economic Conditions Might Affect the Federal Budget: 2025 to 2035</t>
    </r>
    <r>
      <rPr>
        <sz val="11"/>
        <rFont val="Arial"/>
        <family val="2"/>
      </rPr>
      <t>. This workbook applies the agency’s current rules of thumb to scenarios defined by the user and provides estimates of how revenues, outlays, and deficits under those scenarios might differ from those in the agency’s January 2025 baseline budget projections. The workbook also shows how certain variables—including gross domestic product (GDP), real GDP (that is, GDP adjusted to remove the effects of changes in prices), and interest rates—might change as a result.</t>
    </r>
  </si>
  <si>
    <r>
      <t xml:space="preserve">Furthermore, because this workbook is based on the agency’s rules of thumb, it has the same limitations and is subject to the same caveats. (Those limitations and caveats are specified in </t>
    </r>
    <r>
      <rPr>
        <i/>
        <sz val="11"/>
        <rFont val="Arial"/>
        <family val="2"/>
      </rPr>
      <t>How Changes in Economic Conditions Might Affect the Federal Budget: 2025 to 2035</t>
    </r>
    <r>
      <rPr>
        <sz val="11"/>
        <rFont val="Arial"/>
        <family val="2"/>
      </rPr>
      <t>.) Just as the rules of thumb are for changes in only some economic variables, the workbook calculates alternative estimates on the basis of changes in only those variables. The simplified formulas do not capture the full effects of all of the complex interactions between variables that could stem from broader changes in the economy or from changes in fiscal policy; rather, the user-specified scenarios share the same general economic conditions and are assumed to be subject to the same tax and spending policies that underlie CBO’s baseline projections. If, for example, a change in productivity was brought about by a change in government spending or by a change in the tax code, the effects on the economy and the budget would be more complicated than those estimated in this workbook.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</si>
</sst>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0.0"/>
    <numFmt numFmtId="167" formatCode="#,##0.000"/>
    <numFmt numFmtId="168" formatCode="#,##0.0000"/>
    <numFmt numFmtId="169" formatCode="0.0000"/>
  </numFmts>
  <fonts count="45">
    <font>
      <sz val="11"/>
      <color theme="1"/>
      <name val="Calibri"/>
      <family val="2"/>
      <scheme val="minor"/>
    </font>
    <font>
      <sz val="12"/>
      <name val="Arial"/>
      <family val="2"/>
    </font>
    <font>
      <sz val="10"/>
      <name val="Arial"/>
      <family val="2"/>
    </font>
    <font>
      <sz val="12"/>
      <name val="Arial"/>
      <family val="2"/>
    </font>
    <font>
      <sz val="11"/>
      <name val="Arial"/>
      <family val="2"/>
    </font>
    <font>
      <i/>
      <sz val="11"/>
      <name val="Arial"/>
      <family val="2"/>
    </font>
    <font>
      <sz val="11"/>
      <color theme="3"/>
      <name val="Arial"/>
      <family val="2"/>
    </font>
    <font>
      <b/>
      <sz val="11"/>
      <color theme="1"/>
      <name val="Arial"/>
      <family val="2"/>
    </font>
    <font>
      <b/>
      <sz val="11"/>
      <name val="Arial"/>
      <family val="2"/>
    </font>
    <font>
      <sz val="11"/>
      <color theme="1"/>
      <name val="Arial"/>
      <family val="2"/>
    </font>
    <font>
      <b/>
      <sz val="11"/>
      <color rgb="FFFF0000"/>
      <name val="Arial"/>
      <family val="2"/>
    </font>
    <font>
      <sz val="11"/>
      <color theme="0"/>
      <name val="Arial"/>
      <family val="2"/>
    </font>
    <font>
      <vertAlign val="superscript"/>
      <sz val="11"/>
      <name val="Arial"/>
      <family val="2"/>
    </font>
    <font>
      <b/>
      <vertAlign val="superscript"/>
      <sz val="11"/>
      <name val="Arial"/>
      <family val="2"/>
    </font>
    <font>
      <sz val="11"/>
      <color theme="1"/>
      <name val="Calibri"/>
      <family val="2"/>
      <scheme val="minor"/>
    </font>
    <font>
      <sz val="12"/>
      <name val="Times New Roman"/>
      <family val="1"/>
    </font>
    <font>
      <u/>
      <sz val="11"/>
      <color theme="10"/>
      <name val="Calibri"/>
      <family val="2"/>
      <scheme val="minor"/>
    </font>
    <font>
      <sz val="12"/>
      <color theme="1"/>
      <name val="Calibri"/>
      <family val="2"/>
      <scheme val="minor"/>
    </font>
    <font>
      <u/>
      <sz val="12"/>
      <color theme="10"/>
      <name val="Arial"/>
      <family val="2"/>
    </font>
    <font>
      <sz val="10"/>
      <color theme="1"/>
      <name val="Arial"/>
      <family val="2"/>
    </font>
    <font>
      <u/>
      <sz val="10"/>
      <color theme="10"/>
      <name val="Arial"/>
      <family val="2"/>
    </font>
    <font>
      <u/>
      <sz val="11"/>
      <color theme="10"/>
      <name val="Calibri"/>
      <family val="2"/>
    </font>
    <font>
      <u/>
      <sz val="10"/>
      <color indexed="12"/>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2"/>
      <name val="Courier"/>
      <family val="3"/>
    </font>
    <font>
      <sz val="10"/>
      <color indexed="8"/>
      <name val="Arial"/>
      <family val="2"/>
    </font>
    <font>
      <i/>
      <sz val="12"/>
      <color rgb="FF7F7F7F"/>
      <name val="Calibri"/>
      <family val="2"/>
      <scheme val="minor"/>
    </font>
    <font>
      <sz val="10"/>
      <name val="Arial"/>
      <family val="2"/>
    </font>
    <font>
      <sz val="11"/>
      <color theme="1"/>
      <name val="Aptos Narrow"/>
      <family val="2"/>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CC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n">
        <color indexed="64"/>
      </bottom>
      <diagonal/>
    </border>
    <border>
      <left/>
      <right/>
      <top/>
      <bottom style="thin">
        <color indexed="8"/>
      </bottom>
      <diagonal/>
    </border>
    <border>
      <left/>
      <right style="medium">
        <color indexed="64"/>
      </right>
      <top/>
      <bottom/>
      <diagonal/>
    </border>
    <border>
      <left style="medium">
        <color indexed="64"/>
      </left>
      <right/>
      <top/>
      <bottom/>
      <diagonal/>
    </border>
    <border>
      <left/>
      <right/>
      <top style="thin">
        <color indexed="64"/>
      </top>
      <bottom/>
      <diagonal/>
    </border>
    <border>
      <left/>
      <right/>
      <top/>
      <bottom style="medium">
        <color indexed="64"/>
      </bottom>
      <diagonal/>
    </border>
    <border>
      <left/>
      <right/>
      <top style="medium">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02">
    <xf numFmtId="0" fontId="0" fillId="0" borderId="0"/>
    <xf numFmtId="0" fontId="1" fillId="0" borderId="0"/>
    <xf numFmtId="0" fontId="2" fillId="0" borderId="0"/>
    <xf numFmtId="0" fontId="3" fillId="0" borderId="0"/>
    <xf numFmtId="0" fontId="2" fillId="0" borderId="0"/>
    <xf numFmtId="0" fontId="6" fillId="0" borderId="0" applyNumberFormat="0" applyFill="0" applyBorder="0" applyAlignment="0" applyProtection="0"/>
    <xf numFmtId="0" fontId="1" fillId="0" borderId="0"/>
    <xf numFmtId="0" fontId="2" fillId="0" borderId="0"/>
    <xf numFmtId="0" fontId="1" fillId="0" borderId="0"/>
    <xf numFmtId="0" fontId="14" fillId="0" borderId="0"/>
    <xf numFmtId="0" fontId="1" fillId="0" borderId="0"/>
    <xf numFmtId="9" fontId="1"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2" fillId="0" borderId="0"/>
    <xf numFmtId="0" fontId="17" fillId="0" borderId="0"/>
    <xf numFmtId="0" fontId="2" fillId="0" borderId="0"/>
    <xf numFmtId="0" fontId="1" fillId="0" borderId="0"/>
    <xf numFmtId="0" fontId="14" fillId="0" borderId="0"/>
    <xf numFmtId="0" fontId="18"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 fillId="0" borderId="0"/>
    <xf numFmtId="0" fontId="6" fillId="0" borderId="0" applyNumberFormat="0" applyFill="0" applyBorder="0" applyAlignment="0" applyProtection="0"/>
    <xf numFmtId="0" fontId="14" fillId="0" borderId="0"/>
    <xf numFmtId="0" fontId="14" fillId="0" borderId="0"/>
    <xf numFmtId="43" fontId="1" fillId="0" borderId="0" applyFont="0" applyFill="0" applyBorder="0" applyAlignment="0" applyProtection="0"/>
    <xf numFmtId="0" fontId="14" fillId="0" borderId="0"/>
    <xf numFmtId="43" fontId="14" fillId="0" borderId="0" applyFont="0" applyFill="0" applyBorder="0" applyAlignment="0" applyProtection="0"/>
    <xf numFmtId="0" fontId="6" fillId="0" borderId="0" applyNumberFormat="0" applyFill="0" applyBorder="0" applyAlignment="0" applyProtection="0"/>
    <xf numFmtId="0" fontId="1" fillId="0" borderId="0"/>
    <xf numFmtId="0" fontId="6" fillId="0" borderId="0">
      <alignment vertical="top"/>
      <protection locked="0"/>
    </xf>
    <xf numFmtId="0" fontId="6" fillId="0" borderId="0"/>
    <xf numFmtId="0" fontId="2" fillId="0" borderId="0"/>
    <xf numFmtId="0" fontId="6" fillId="0" borderId="0" applyNumberFormat="0" applyFill="0" applyBorder="0" applyAlignment="0" applyProtection="0">
      <alignment vertical="top"/>
      <protection locked="0"/>
    </xf>
    <xf numFmtId="0" fontId="2" fillId="0" borderId="0"/>
    <xf numFmtId="0" fontId="2" fillId="0" borderId="0"/>
    <xf numFmtId="0" fontId="14" fillId="0" borderId="0"/>
    <xf numFmtId="0" fontId="1" fillId="0" borderId="0"/>
    <xf numFmtId="43" fontId="2" fillId="0" borderId="0" applyFont="0" applyFill="0" applyBorder="0" applyAlignment="0" applyProtection="0"/>
    <xf numFmtId="0" fontId="17" fillId="0" borderId="0"/>
    <xf numFmtId="0" fontId="2"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0" fontId="21" fillId="0" borderId="0" applyNumberFormat="0" applyFill="0" applyBorder="0" applyAlignment="0" applyProtection="0">
      <alignment vertical="top"/>
      <protection locked="0"/>
    </xf>
    <xf numFmtId="0" fontId="2" fillId="0" borderId="0"/>
    <xf numFmtId="0" fontId="18" fillId="0" borderId="0" applyNumberFormat="0" applyFill="0" applyBorder="0" applyAlignment="0" applyProtection="0"/>
    <xf numFmtId="9" fontId="14" fillId="0" borderId="0" applyFont="0" applyFill="0" applyBorder="0" applyAlignment="0" applyProtection="0"/>
    <xf numFmtId="0" fontId="2" fillId="0" borderId="0"/>
    <xf numFmtId="0" fontId="14" fillId="0" borderId="0"/>
    <xf numFmtId="0" fontId="1" fillId="0" borderId="0"/>
    <xf numFmtId="0" fontId="22" fillId="0" borderId="0" applyNumberFormat="0" applyFill="0" applyBorder="0" applyAlignment="0" applyProtection="0">
      <alignment vertical="top"/>
      <protection locked="0"/>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2"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36"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3" fillId="33" borderId="0" applyNumberFormat="0" applyBorder="0" applyAlignment="0" applyProtection="0"/>
    <xf numFmtId="0" fontId="23" fillId="37"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34" borderId="0" applyNumberFormat="0" applyBorder="0" applyAlignment="0" applyProtection="0"/>
    <xf numFmtId="0" fontId="24" fillId="8" borderId="0" applyNumberFormat="0" applyBorder="0" applyAlignment="0" applyProtection="0"/>
    <xf numFmtId="0" fontId="25" fillId="11" borderId="11" applyNumberFormat="0" applyAlignment="0" applyProtection="0"/>
    <xf numFmtId="0" fontId="26" fillId="12" borderId="14" applyNumberFormat="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30" fillId="0" borderId="8"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3" fillId="10" borderId="11" applyNumberFormat="0" applyAlignment="0" applyProtection="0"/>
    <xf numFmtId="0" fontId="34" fillId="0" borderId="13" applyNumberFormat="0" applyFill="0" applyAlignment="0" applyProtection="0"/>
    <xf numFmtId="0" fontId="35" fillId="9" borderId="0" applyNumberFormat="0" applyBorder="0" applyAlignment="0" applyProtection="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2" fillId="0" borderId="0"/>
    <xf numFmtId="0" fontId="2" fillId="0" borderId="0"/>
    <xf numFmtId="0" fontId="2" fillId="0" borderId="0"/>
    <xf numFmtId="0" fontId="19" fillId="0" borderId="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2" fillId="0" borderId="0"/>
    <xf numFmtId="0" fontId="2" fillId="0" borderId="0"/>
    <xf numFmtId="0" fontId="14" fillId="0" borderId="0"/>
    <xf numFmtId="0" fontId="2"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9" fillId="13" borderId="15" applyNumberFormat="0" applyFont="0" applyAlignment="0" applyProtection="0"/>
    <xf numFmtId="0" fontId="37" fillId="11" borderId="12"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16" fillId="0" borderId="0" applyNumberFormat="0" applyFill="0" applyBorder="0" applyAlignment="0" applyProtection="0"/>
    <xf numFmtId="0" fontId="1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0" fillId="0" borderId="0" applyNumberFormat="0" applyFill="0" applyBorder="0" applyAlignment="0" applyProtection="0"/>
    <xf numFmtId="0" fontId="1" fillId="0" borderId="0"/>
    <xf numFmtId="0" fontId="2" fillId="0" borderId="0"/>
    <xf numFmtId="0" fontId="40" fillId="0" borderId="0" applyFont="0" applyFill="0" applyBorder="0" applyAlignment="0" applyProtection="0"/>
    <xf numFmtId="0" fontId="4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4" fillId="0" borderId="0"/>
    <xf numFmtId="0" fontId="18"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6" fillId="0" borderId="0" applyNumberFormat="0" applyFill="0" applyBorder="0" applyAlignment="0" applyProtection="0"/>
    <xf numFmtId="0" fontId="17"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42" fillId="0" borderId="0" applyNumberFormat="0" applyFill="0" applyBorder="0" applyAlignment="0" applyProtection="0"/>
    <xf numFmtId="0" fontId="43" fillId="0" borderId="0"/>
    <xf numFmtId="43" fontId="14" fillId="0" borderId="0" applyFont="0" applyFill="0" applyBorder="0" applyAlignment="0" applyProtection="0"/>
  </cellStyleXfs>
  <cellXfs count="226">
    <xf numFmtId="0" fontId="0" fillId="0" borderId="0" xfId="0"/>
    <xf numFmtId="0" fontId="7" fillId="4" borderId="0" xfId="0" applyFont="1" applyFill="1" applyAlignment="1" applyProtection="1">
      <alignment horizontal="center" vertical="center"/>
      <protection locked="0"/>
    </xf>
    <xf numFmtId="0" fontId="4" fillId="2" borderId="0" xfId="4" applyFont="1" applyFill="1" applyAlignment="1">
      <alignment horizontal="left" vertical="center"/>
    </xf>
    <xf numFmtId="0" fontId="4" fillId="3" borderId="0" xfId="1" applyFont="1" applyFill="1" applyAlignment="1">
      <alignment horizontal="center"/>
    </xf>
    <xf numFmtId="0" fontId="4" fillId="3" borderId="0" xfId="1" applyFont="1" applyFill="1"/>
    <xf numFmtId="0" fontId="4" fillId="2" borderId="0" xfId="1" applyFont="1" applyFill="1" applyAlignment="1">
      <alignment wrapText="1"/>
    </xf>
    <xf numFmtId="0" fontId="4" fillId="3" borderId="0" xfId="1" applyFont="1" applyFill="1" applyAlignment="1">
      <alignment horizontal="left"/>
    </xf>
    <xf numFmtId="0" fontId="4" fillId="2" borderId="0" xfId="1" applyFont="1" applyFill="1" applyAlignment="1">
      <alignment horizontal="left" wrapText="1"/>
    </xf>
    <xf numFmtId="165" fontId="8" fillId="2" borderId="0" xfId="1" applyNumberFormat="1" applyFont="1" applyFill="1" applyAlignment="1">
      <alignment wrapText="1"/>
    </xf>
    <xf numFmtId="165" fontId="7" fillId="3" borderId="0" xfId="1" applyNumberFormat="1" applyFont="1" applyFill="1"/>
    <xf numFmtId="165" fontId="7" fillId="2" borderId="0" xfId="1" applyNumberFormat="1" applyFont="1" applyFill="1" applyAlignment="1">
      <alignment horizontal="right"/>
    </xf>
    <xf numFmtId="0" fontId="7" fillId="2" borderId="0" xfId="1" applyFont="1" applyFill="1" applyAlignment="1">
      <alignment horizontal="right"/>
    </xf>
    <xf numFmtId="0" fontId="9" fillId="2" borderId="0" xfId="1" applyFont="1" applyFill="1"/>
    <xf numFmtId="0" fontId="9" fillId="3" borderId="0" xfId="1" applyFont="1" applyFill="1"/>
    <xf numFmtId="165" fontId="7" fillId="3" borderId="1" xfId="1" applyNumberFormat="1" applyFont="1" applyFill="1" applyBorder="1"/>
    <xf numFmtId="49" fontId="7" fillId="2" borderId="0" xfId="1" applyNumberFormat="1" applyFont="1" applyFill="1" applyAlignment="1">
      <alignment horizontal="right"/>
    </xf>
    <xf numFmtId="165" fontId="9" fillId="2" borderId="0" xfId="1" applyNumberFormat="1" applyFont="1" applyFill="1"/>
    <xf numFmtId="165" fontId="9" fillId="2" borderId="5" xfId="1" applyNumberFormat="1" applyFont="1" applyFill="1" applyBorder="1" applyAlignment="1">
      <alignment horizontal="right" vertical="center" wrapText="1"/>
    </xf>
    <xf numFmtId="165" fontId="9" fillId="2" borderId="0" xfId="1" applyNumberFormat="1" applyFont="1" applyFill="1" applyAlignment="1">
      <alignment horizontal="right" vertical="center" wrapText="1"/>
    </xf>
    <xf numFmtId="165" fontId="9" fillId="2" borderId="0" xfId="1" applyNumberFormat="1" applyFont="1" applyFill="1" applyAlignment="1">
      <alignment horizontal="right"/>
    </xf>
    <xf numFmtId="3" fontId="4" fillId="2" borderId="0" xfId="1" applyNumberFormat="1" applyFont="1" applyFill="1" applyAlignment="1">
      <alignment vertical="center" wrapText="1"/>
    </xf>
    <xf numFmtId="0" fontId="9" fillId="2" borderId="0" xfId="0" applyFont="1" applyFill="1" applyAlignment="1">
      <alignment horizontal="left"/>
    </xf>
    <xf numFmtId="1" fontId="8" fillId="2" borderId="0" xfId="1" applyNumberFormat="1" applyFont="1" applyFill="1"/>
    <xf numFmtId="1" fontId="8" fillId="2" borderId="0" xfId="1" applyNumberFormat="1" applyFont="1" applyFill="1" applyAlignment="1">
      <alignment horizontal="right"/>
    </xf>
    <xf numFmtId="1" fontId="8" fillId="2" borderId="6" xfId="1" applyNumberFormat="1" applyFont="1" applyFill="1" applyBorder="1" applyAlignment="1">
      <alignment horizontal="right"/>
    </xf>
    <xf numFmtId="165" fontId="8" fillId="2" borderId="0" xfId="1" applyNumberFormat="1" applyFont="1" applyFill="1" applyAlignment="1">
      <alignment horizontal="left" vertical="center" wrapText="1" indent="2"/>
    </xf>
    <xf numFmtId="0" fontId="9" fillId="2" borderId="3" xfId="0" applyFont="1" applyFill="1" applyBorder="1" applyAlignment="1">
      <alignment horizontal="center" vertical="center"/>
    </xf>
    <xf numFmtId="1" fontId="4" fillId="2" borderId="4" xfId="1" applyNumberFormat="1" applyFont="1" applyFill="1" applyBorder="1" applyAlignment="1">
      <alignment horizontal="right" vertical="center"/>
    </xf>
    <xf numFmtId="0" fontId="4" fillId="2" borderId="0" xfId="1" applyFont="1" applyFill="1"/>
    <xf numFmtId="165" fontId="10" fillId="2" borderId="0" xfId="1" applyNumberFormat="1" applyFont="1" applyFill="1" applyAlignment="1">
      <alignment horizontal="left" vertical="center" indent="36"/>
    </xf>
    <xf numFmtId="165" fontId="10" fillId="2" borderId="0" xfId="1" applyNumberFormat="1" applyFont="1" applyFill="1" applyAlignment="1">
      <alignment horizontal="right" vertical="center"/>
    </xf>
    <xf numFmtId="165" fontId="10" fillId="2" borderId="7" xfId="1" applyNumberFormat="1" applyFont="1" applyFill="1" applyBorder="1" applyAlignment="1">
      <alignment horizontal="right" vertical="center"/>
    </xf>
    <xf numFmtId="165" fontId="4" fillId="2" borderId="0" xfId="1" applyNumberFormat="1" applyFont="1" applyFill="1" applyAlignment="1">
      <alignment horizontal="right"/>
    </xf>
    <xf numFmtId="0" fontId="8" fillId="2" borderId="0" xfId="1" applyFont="1" applyFill="1" applyAlignment="1">
      <alignment horizontal="left" wrapText="1"/>
    </xf>
    <xf numFmtId="165" fontId="8" fillId="2" borderId="0" xfId="1" applyNumberFormat="1" applyFont="1" applyFill="1" applyAlignment="1">
      <alignment horizontal="right"/>
    </xf>
    <xf numFmtId="3" fontId="8" fillId="2" borderId="0" xfId="1" applyNumberFormat="1" applyFont="1" applyFill="1" applyAlignment="1">
      <alignment vertical="center" wrapText="1"/>
    </xf>
    <xf numFmtId="0" fontId="8" fillId="3" borderId="0" xfId="1" applyFont="1" applyFill="1"/>
    <xf numFmtId="0" fontId="4" fillId="2" borderId="0" xfId="1" applyFont="1" applyFill="1" applyAlignment="1">
      <alignment horizontal="left" wrapText="1" indent="1"/>
    </xf>
    <xf numFmtId="164" fontId="4" fillId="2" borderId="0" xfId="1" applyNumberFormat="1" applyFont="1" applyFill="1" applyAlignment="1">
      <alignment horizontal="center"/>
    </xf>
    <xf numFmtId="0" fontId="4" fillId="5" borderId="0" xfId="1" applyFont="1" applyFill="1" applyAlignment="1">
      <alignment horizontal="left" wrapText="1" indent="1"/>
    </xf>
    <xf numFmtId="164" fontId="4" fillId="5" borderId="0" xfId="1" applyNumberFormat="1" applyFont="1" applyFill="1" applyAlignment="1">
      <alignment horizontal="center"/>
    </xf>
    <xf numFmtId="165" fontId="4" fillId="2" borderId="1" xfId="1" applyNumberFormat="1" applyFont="1" applyFill="1" applyBorder="1"/>
    <xf numFmtId="165" fontId="4" fillId="2" borderId="1" xfId="1" applyNumberFormat="1" applyFont="1" applyFill="1" applyBorder="1" applyAlignment="1">
      <alignment horizontal="right"/>
    </xf>
    <xf numFmtId="1" fontId="4" fillId="2" borderId="0" xfId="1" applyNumberFormat="1" applyFont="1" applyFill="1" applyAlignment="1">
      <alignment horizontal="center"/>
    </xf>
    <xf numFmtId="1" fontId="11" fillId="2" borderId="0" xfId="1" applyNumberFormat="1" applyFont="1" applyFill="1" applyAlignment="1">
      <alignment horizontal="center" vertical="center"/>
    </xf>
    <xf numFmtId="165" fontId="4" fillId="3" borderId="0" xfId="1" applyNumberFormat="1" applyFont="1" applyFill="1"/>
    <xf numFmtId="1" fontId="8" fillId="3" borderId="0" xfId="1" applyNumberFormat="1" applyFont="1" applyFill="1" applyAlignment="1">
      <alignment vertical="center" wrapText="1"/>
    </xf>
    <xf numFmtId="165" fontId="7" fillId="3" borderId="0" xfId="1" applyNumberFormat="1" applyFont="1" applyFill="1" applyAlignment="1">
      <alignment horizontal="right"/>
    </xf>
    <xf numFmtId="0" fontId="7" fillId="3" borderId="0" xfId="1" applyFont="1" applyFill="1" applyAlignment="1">
      <alignment horizontal="right"/>
    </xf>
    <xf numFmtId="1" fontId="7" fillId="3" borderId="1" xfId="1" applyNumberFormat="1" applyFont="1" applyFill="1" applyBorder="1" applyAlignment="1">
      <alignment horizontal="right"/>
    </xf>
    <xf numFmtId="165" fontId="4" fillId="5" borderId="0" xfId="1" applyNumberFormat="1" applyFont="1" applyFill="1"/>
    <xf numFmtId="3" fontId="4" fillId="5" borderId="0" xfId="1" applyNumberFormat="1" applyFont="1" applyFill="1" applyAlignment="1">
      <alignment horizontal="right"/>
    </xf>
    <xf numFmtId="3" fontId="8" fillId="5" borderId="0" xfId="1" applyNumberFormat="1" applyFont="1" applyFill="1" applyAlignment="1">
      <alignment horizontal="right"/>
    </xf>
    <xf numFmtId="165" fontId="4" fillId="5" borderId="0" xfId="1" applyNumberFormat="1" applyFont="1" applyFill="1" applyAlignment="1">
      <alignment horizontal="left" indent="1"/>
    </xf>
    <xf numFmtId="1" fontId="4" fillId="3" borderId="0" xfId="1" applyNumberFormat="1" applyFont="1" applyFill="1" applyAlignment="1">
      <alignment horizontal="right"/>
    </xf>
    <xf numFmtId="165" fontId="4" fillId="5" borderId="0" xfId="1" applyNumberFormat="1" applyFont="1" applyFill="1" applyAlignment="1">
      <alignment horizontal="left" indent="2"/>
    </xf>
    <xf numFmtId="165" fontId="4" fillId="5" borderId="0" xfId="1" applyNumberFormat="1" applyFont="1" applyFill="1" applyAlignment="1">
      <alignment horizontal="left" indent="3"/>
    </xf>
    <xf numFmtId="165" fontId="4" fillId="5" borderId="0" xfId="1" applyNumberFormat="1" applyFont="1" applyFill="1" applyAlignment="1">
      <alignment horizontal="left" indent="4"/>
    </xf>
    <xf numFmtId="3" fontId="4" fillId="3" borderId="0" xfId="1" applyNumberFormat="1" applyFont="1" applyFill="1"/>
    <xf numFmtId="165" fontId="8" fillId="5" borderId="0" xfId="1" applyNumberFormat="1" applyFont="1" applyFill="1" applyAlignment="1">
      <alignment wrapText="1"/>
    </xf>
    <xf numFmtId="3" fontId="7" fillId="5" borderId="0" xfId="0" applyNumberFormat="1" applyFont="1" applyFill="1" applyAlignment="1">
      <alignment horizontal="right"/>
    </xf>
    <xf numFmtId="165" fontId="4" fillId="2" borderId="0" xfId="3" applyNumberFormat="1" applyFont="1" applyFill="1"/>
    <xf numFmtId="3" fontId="4" fillId="2" borderId="0" xfId="3" applyNumberFormat="1" applyFont="1" applyFill="1"/>
    <xf numFmtId="0" fontId="4" fillId="2" borderId="0" xfId="3" applyFont="1" applyFill="1"/>
    <xf numFmtId="165" fontId="8" fillId="2" borderId="0" xfId="1" applyNumberFormat="1" applyFont="1" applyFill="1"/>
    <xf numFmtId="4" fontId="4" fillId="2" borderId="0" xfId="3" applyNumberFormat="1" applyFont="1" applyFill="1"/>
    <xf numFmtId="0" fontId="4" fillId="2" borderId="0" xfId="1" applyFont="1" applyFill="1" applyAlignment="1">
      <alignment horizontal="left" indent="1"/>
    </xf>
    <xf numFmtId="0" fontId="4" fillId="5" borderId="0" xfId="1" applyFont="1" applyFill="1" applyAlignment="1">
      <alignment horizontal="left" indent="1"/>
    </xf>
    <xf numFmtId="3" fontId="4" fillId="5" borderId="0" xfId="6" applyNumberFormat="1" applyFont="1" applyFill="1" applyAlignment="1">
      <alignment horizontal="right"/>
    </xf>
    <xf numFmtId="3" fontId="4" fillId="5" borderId="0" xfId="3" applyNumberFormat="1" applyFont="1" applyFill="1" applyAlignment="1">
      <alignment horizontal="right"/>
    </xf>
    <xf numFmtId="0" fontId="4" fillId="2" borderId="1" xfId="1" applyFont="1" applyFill="1" applyBorder="1" applyAlignment="1">
      <alignment horizontal="left" indent="1"/>
    </xf>
    <xf numFmtId="1" fontId="4" fillId="2" borderId="1" xfId="6" applyNumberFormat="1" applyFont="1" applyFill="1" applyBorder="1"/>
    <xf numFmtId="0" fontId="4" fillId="2" borderId="1" xfId="6" applyFont="1" applyFill="1" applyBorder="1"/>
    <xf numFmtId="0" fontId="4" fillId="2" borderId="0" xfId="6" applyFont="1" applyFill="1"/>
    <xf numFmtId="1" fontId="4" fillId="2" borderId="0" xfId="6" applyNumberFormat="1" applyFont="1" applyFill="1"/>
    <xf numFmtId="1" fontId="8" fillId="2" borderId="0" xfId="6" applyNumberFormat="1" applyFont="1" applyFill="1" applyAlignment="1">
      <alignment horizontal="center"/>
    </xf>
    <xf numFmtId="1" fontId="8" fillId="2" borderId="1" xfId="6" applyNumberFormat="1" applyFont="1" applyFill="1" applyBorder="1" applyAlignment="1">
      <alignment horizontal="left"/>
    </xf>
    <xf numFmtId="166" fontId="8" fillId="2" borderId="0" xfId="1" applyNumberFormat="1" applyFont="1" applyFill="1" applyAlignment="1">
      <alignment horizontal="right"/>
    </xf>
    <xf numFmtId="166" fontId="8" fillId="2" borderId="0" xfId="1" applyNumberFormat="1" applyFont="1" applyFill="1" applyAlignment="1">
      <alignment horizontal="right" vertical="center"/>
    </xf>
    <xf numFmtId="0" fontId="8" fillId="2" borderId="0" xfId="1" applyFont="1" applyFill="1"/>
    <xf numFmtId="166" fontId="4" fillId="2" borderId="0" xfId="1" applyNumberFormat="1" applyFont="1" applyFill="1" applyAlignment="1">
      <alignment horizontal="right" vertical="center"/>
    </xf>
    <xf numFmtId="1" fontId="4" fillId="2" borderId="0" xfId="1" applyNumberFormat="1" applyFont="1" applyFill="1"/>
    <xf numFmtId="166" fontId="4" fillId="5" borderId="0" xfId="6" applyNumberFormat="1" applyFont="1" applyFill="1" applyAlignment="1">
      <alignment horizontal="right"/>
    </xf>
    <xf numFmtId="166" fontId="9" fillId="5" borderId="0" xfId="0" applyNumberFormat="1" applyFont="1" applyFill="1" applyAlignment="1">
      <alignment horizontal="right"/>
    </xf>
    <xf numFmtId="0" fontId="8" fillId="2" borderId="0" xfId="1" applyFont="1" applyFill="1" applyAlignment="1">
      <alignment horizontal="right"/>
    </xf>
    <xf numFmtId="166" fontId="4" fillId="5" borderId="0" xfId="1" applyNumberFormat="1" applyFont="1" applyFill="1" applyAlignment="1">
      <alignment horizontal="right"/>
    </xf>
    <xf numFmtId="4" fontId="4" fillId="5" borderId="0" xfId="6" applyNumberFormat="1" applyFont="1" applyFill="1" applyAlignment="1">
      <alignment horizontal="right"/>
    </xf>
    <xf numFmtId="2" fontId="4" fillId="5" borderId="0" xfId="1" applyNumberFormat="1" applyFont="1" applyFill="1" applyAlignment="1">
      <alignment horizontal="right"/>
    </xf>
    <xf numFmtId="3" fontId="8" fillId="2" borderId="0" xfId="1" applyNumberFormat="1" applyFont="1" applyFill="1" applyAlignment="1">
      <alignment horizontal="right"/>
    </xf>
    <xf numFmtId="164" fontId="4" fillId="5" borderId="0" xfId="1" applyNumberFormat="1" applyFont="1" applyFill="1" applyAlignment="1">
      <alignment horizontal="right"/>
    </xf>
    <xf numFmtId="164" fontId="4" fillId="2" borderId="0" xfId="1" applyNumberFormat="1" applyFont="1" applyFill="1"/>
    <xf numFmtId="164" fontId="4" fillId="2" borderId="1" xfId="1" applyNumberFormat="1" applyFont="1" applyFill="1" applyBorder="1" applyAlignment="1">
      <alignment horizontal="right"/>
    </xf>
    <xf numFmtId="164" fontId="4" fillId="2" borderId="1" xfId="1" applyNumberFormat="1" applyFont="1" applyFill="1" applyBorder="1" applyAlignment="1">
      <alignment horizontal="right" vertical="center"/>
    </xf>
    <xf numFmtId="1" fontId="4" fillId="3" borderId="0" xfId="1" applyNumberFormat="1" applyFont="1" applyFill="1"/>
    <xf numFmtId="165" fontId="4" fillId="3" borderId="0" xfId="1" applyNumberFormat="1" applyFont="1" applyFill="1" applyAlignment="1">
      <alignment horizontal="right"/>
    </xf>
    <xf numFmtId="165" fontId="4" fillId="2" borderId="0" xfId="3" applyNumberFormat="1" applyFont="1" applyFill="1" applyAlignment="1">
      <alignment horizontal="left"/>
    </xf>
    <xf numFmtId="1" fontId="4" fillId="3" borderId="0" xfId="1" applyNumberFormat="1" applyFont="1" applyFill="1" applyAlignment="1">
      <alignment wrapText="1"/>
    </xf>
    <xf numFmtId="1" fontId="4" fillId="3" borderId="0" xfId="1" applyNumberFormat="1" applyFont="1" applyFill="1" applyAlignment="1">
      <alignment horizontal="center"/>
    </xf>
    <xf numFmtId="165" fontId="4" fillId="3" borderId="0" xfId="1" applyNumberFormat="1" applyFont="1" applyFill="1" applyAlignment="1">
      <alignment horizontal="center"/>
    </xf>
    <xf numFmtId="1" fontId="4" fillId="2" borderId="0" xfId="1" applyNumberFormat="1" applyFont="1" applyFill="1" applyAlignment="1">
      <alignment vertical="center"/>
    </xf>
    <xf numFmtId="165" fontId="4" fillId="3" borderId="2" xfId="1" applyNumberFormat="1" applyFont="1" applyFill="1" applyBorder="1" applyAlignment="1">
      <alignment horizontal="left"/>
    </xf>
    <xf numFmtId="1" fontId="4" fillId="3" borderId="2" xfId="1" applyNumberFormat="1" applyFont="1" applyFill="1" applyBorder="1" applyAlignment="1">
      <alignment horizontal="center"/>
    </xf>
    <xf numFmtId="0" fontId="9" fillId="2" borderId="0" xfId="0" applyFont="1" applyFill="1"/>
    <xf numFmtId="0" fontId="7" fillId="2" borderId="0" xfId="0" applyFont="1" applyFill="1"/>
    <xf numFmtId="0" fontId="6" fillId="2" borderId="0" xfId="5" applyFill="1" applyProtection="1"/>
    <xf numFmtId="0" fontId="8" fillId="2" borderId="0" xfId="5" applyFont="1" applyFill="1" applyProtection="1"/>
    <xf numFmtId="0" fontId="9" fillId="2" borderId="0" xfId="0" applyFont="1" applyFill="1" applyAlignment="1">
      <alignment horizontal="left" wrapText="1"/>
    </xf>
    <xf numFmtId="0" fontId="9" fillId="2" borderId="0" xfId="0" applyFont="1" applyFill="1" applyAlignment="1">
      <alignment wrapText="1"/>
    </xf>
    <xf numFmtId="0" fontId="9" fillId="2" borderId="0" xfId="0" applyFont="1" applyFill="1" applyAlignment="1">
      <alignment vertical="center" wrapText="1"/>
    </xf>
    <xf numFmtId="0" fontId="4" fillId="2" borderId="0" xfId="1" applyFont="1" applyFill="1" applyAlignment="1">
      <alignment horizontal="center"/>
    </xf>
    <xf numFmtId="165" fontId="4" fillId="2" borderId="0" xfId="6" applyNumberFormat="1" applyFont="1" applyFill="1"/>
    <xf numFmtId="3" fontId="4" fillId="2" borderId="0" xfId="6" applyNumberFormat="1" applyFont="1" applyFill="1"/>
    <xf numFmtId="4" fontId="4" fillId="2" borderId="0" xfId="6" applyNumberFormat="1" applyFont="1" applyFill="1"/>
    <xf numFmtId="3" fontId="4" fillId="2" borderId="1" xfId="6" applyNumberFormat="1" applyFont="1" applyFill="1" applyBorder="1" applyAlignment="1">
      <alignment horizontal="right"/>
    </xf>
    <xf numFmtId="3" fontId="4" fillId="2" borderId="1" xfId="1" applyNumberFormat="1" applyFont="1" applyFill="1" applyBorder="1" applyAlignment="1">
      <alignment horizontal="right"/>
    </xf>
    <xf numFmtId="164" fontId="8" fillId="2" borderId="0" xfId="1" applyNumberFormat="1" applyFont="1" applyFill="1"/>
    <xf numFmtId="2" fontId="4" fillId="2" borderId="0" xfId="1" applyNumberFormat="1" applyFont="1" applyFill="1"/>
    <xf numFmtId="0" fontId="4" fillId="3" borderId="0" xfId="1" applyFont="1" applyFill="1" applyAlignment="1">
      <alignment vertical="top" wrapText="1"/>
    </xf>
    <xf numFmtId="165" fontId="7" fillId="2" borderId="1" xfId="1" applyNumberFormat="1" applyFont="1" applyFill="1" applyBorder="1"/>
    <xf numFmtId="165" fontId="8" fillId="2" borderId="0" xfId="1" applyNumberFormat="1" applyFont="1" applyFill="1" applyAlignment="1">
      <alignment horizontal="left" wrapText="1"/>
    </xf>
    <xf numFmtId="165" fontId="4" fillId="2" borderId="1" xfId="3" applyNumberFormat="1" applyFont="1" applyFill="1" applyBorder="1" applyAlignment="1">
      <alignment horizontal="left"/>
    </xf>
    <xf numFmtId="165" fontId="4" fillId="2" borderId="1" xfId="6" applyNumberFormat="1" applyFont="1" applyFill="1" applyBorder="1" applyAlignment="1">
      <alignment horizontal="left"/>
    </xf>
    <xf numFmtId="165" fontId="4" fillId="2" borderId="0" xfId="6" applyNumberFormat="1" applyFont="1" applyFill="1" applyAlignment="1">
      <alignment horizontal="left"/>
    </xf>
    <xf numFmtId="165" fontId="4" fillId="2" borderId="5" xfId="6" applyNumberFormat="1" applyFont="1" applyFill="1" applyBorder="1" applyAlignment="1">
      <alignment horizontal="left"/>
    </xf>
    <xf numFmtId="165" fontId="4" fillId="5" borderId="0" xfId="3" applyNumberFormat="1" applyFont="1" applyFill="1"/>
    <xf numFmtId="165" fontId="4" fillId="5" borderId="0" xfId="3" applyNumberFormat="1" applyFont="1" applyFill="1" applyAlignment="1">
      <alignment horizontal="right"/>
    </xf>
    <xf numFmtId="1" fontId="4" fillId="5" borderId="0" xfId="3" applyNumberFormat="1" applyFont="1" applyFill="1" applyAlignment="1">
      <alignment horizontal="right"/>
    </xf>
    <xf numFmtId="1" fontId="8" fillId="5" borderId="0" xfId="3" applyNumberFormat="1" applyFont="1" applyFill="1" applyAlignment="1">
      <alignment horizontal="right"/>
    </xf>
    <xf numFmtId="165" fontId="4" fillId="5" borderId="0" xfId="3" applyNumberFormat="1" applyFont="1" applyFill="1" applyAlignment="1">
      <alignment horizontal="left" indent="1"/>
    </xf>
    <xf numFmtId="165" fontId="4" fillId="5" borderId="0" xfId="3" applyNumberFormat="1" applyFont="1" applyFill="1" applyAlignment="1">
      <alignment horizontal="left" indent="2"/>
    </xf>
    <xf numFmtId="165" fontId="4" fillId="5" borderId="0" xfId="3" applyNumberFormat="1" applyFont="1" applyFill="1" applyAlignment="1">
      <alignment horizontal="left" indent="4"/>
    </xf>
    <xf numFmtId="165" fontId="8" fillId="5" borderId="0" xfId="3" applyNumberFormat="1" applyFont="1" applyFill="1" applyAlignment="1">
      <alignment horizontal="right"/>
    </xf>
    <xf numFmtId="165" fontId="8" fillId="2" borderId="0" xfId="3" applyNumberFormat="1" applyFont="1" applyFill="1"/>
    <xf numFmtId="1" fontId="8" fillId="2" borderId="0" xfId="3" applyNumberFormat="1" applyFont="1" applyFill="1" applyAlignment="1">
      <alignment horizontal="right"/>
    </xf>
    <xf numFmtId="3" fontId="8" fillId="2" borderId="0" xfId="3" applyNumberFormat="1" applyFont="1" applyFill="1" applyAlignment="1">
      <alignment horizontal="right"/>
    </xf>
    <xf numFmtId="165" fontId="4" fillId="2" borderId="0" xfId="1" applyNumberFormat="1" applyFont="1" applyFill="1"/>
    <xf numFmtId="1" fontId="4" fillId="2" borderId="0" xfId="3" applyNumberFormat="1" applyFont="1" applyFill="1"/>
    <xf numFmtId="166" fontId="8" fillId="2" borderId="0" xfId="1" applyNumberFormat="1" applyFont="1" applyFill="1"/>
    <xf numFmtId="166" fontId="8" fillId="2" borderId="0" xfId="1" quotePrefix="1" applyNumberFormat="1" applyFont="1" applyFill="1" applyAlignment="1">
      <alignment horizontal="right" vertical="center"/>
    </xf>
    <xf numFmtId="164" fontId="4" fillId="5" borderId="0" xfId="1" applyNumberFormat="1" applyFont="1" applyFill="1"/>
    <xf numFmtId="166" fontId="4" fillId="5" borderId="0" xfId="1" applyNumberFormat="1" applyFont="1" applyFill="1"/>
    <xf numFmtId="3" fontId="4" fillId="5" borderId="0" xfId="1" applyNumberFormat="1" applyFont="1" applyFill="1"/>
    <xf numFmtId="3" fontId="8" fillId="2" borderId="0" xfId="1" applyNumberFormat="1" applyFont="1" applyFill="1"/>
    <xf numFmtId="2" fontId="4" fillId="5" borderId="0" xfId="1" applyNumberFormat="1" applyFont="1" applyFill="1"/>
    <xf numFmtId="4" fontId="4" fillId="5" borderId="0" xfId="1" applyNumberFormat="1" applyFont="1" applyFill="1"/>
    <xf numFmtId="164" fontId="4" fillId="2" borderId="1" xfId="1" applyNumberFormat="1" applyFont="1" applyFill="1" applyBorder="1"/>
    <xf numFmtId="164" fontId="4" fillId="2" borderId="0" xfId="1" applyNumberFormat="1" applyFont="1" applyFill="1" applyAlignment="1">
      <alignment horizontal="right" vertical="center"/>
    </xf>
    <xf numFmtId="165" fontId="4" fillId="2" borderId="2" xfId="3" applyNumberFormat="1" applyFont="1" applyFill="1" applyBorder="1" applyAlignment="1">
      <alignment horizontal="left"/>
    </xf>
    <xf numFmtId="1" fontId="4" fillId="2" borderId="2" xfId="3" applyNumberFormat="1" applyFont="1" applyFill="1" applyBorder="1" applyAlignment="1">
      <alignment horizontal="left"/>
    </xf>
    <xf numFmtId="1" fontId="8" fillId="2" borderId="0" xfId="6" applyNumberFormat="1" applyFont="1" applyFill="1" applyAlignment="1">
      <alignment horizontal="right"/>
    </xf>
    <xf numFmtId="3" fontId="8" fillId="2" borderId="0" xfId="6" applyNumberFormat="1" applyFont="1" applyFill="1" applyAlignment="1">
      <alignment horizontal="right"/>
    </xf>
    <xf numFmtId="3" fontId="4" fillId="5" borderId="0" xfId="6" applyNumberFormat="1" applyFont="1" applyFill="1"/>
    <xf numFmtId="1" fontId="4" fillId="2" borderId="1" xfId="1" applyNumberFormat="1" applyFont="1" applyFill="1" applyBorder="1"/>
    <xf numFmtId="3" fontId="4" fillId="2" borderId="1" xfId="6" applyNumberFormat="1" applyFont="1" applyFill="1" applyBorder="1"/>
    <xf numFmtId="1" fontId="4" fillId="2" borderId="2" xfId="6" applyNumberFormat="1" applyFont="1" applyFill="1" applyBorder="1" applyAlignment="1">
      <alignment horizontal="left"/>
    </xf>
    <xf numFmtId="165" fontId="4" fillId="5" borderId="0" xfId="6" applyNumberFormat="1" applyFont="1" applyFill="1"/>
    <xf numFmtId="165" fontId="4" fillId="5" borderId="0" xfId="6" applyNumberFormat="1" applyFont="1" applyFill="1" applyAlignment="1">
      <alignment horizontal="left" indent="1"/>
    </xf>
    <xf numFmtId="165" fontId="4" fillId="5" borderId="0" xfId="6" applyNumberFormat="1" applyFont="1" applyFill="1" applyAlignment="1">
      <alignment horizontal="left" indent="2"/>
    </xf>
    <xf numFmtId="165" fontId="4" fillId="5" borderId="0" xfId="6" applyNumberFormat="1" applyFont="1" applyFill="1" applyAlignment="1">
      <alignment horizontal="left" indent="3"/>
    </xf>
    <xf numFmtId="165" fontId="8" fillId="2" borderId="0" xfId="6" applyNumberFormat="1" applyFont="1" applyFill="1"/>
    <xf numFmtId="1" fontId="4" fillId="2" borderId="0" xfId="6" applyNumberFormat="1" applyFont="1" applyFill="1" applyAlignment="1">
      <alignment horizontal="left"/>
    </xf>
    <xf numFmtId="165" fontId="4" fillId="2" borderId="2" xfId="6" applyNumberFormat="1" applyFont="1" applyFill="1" applyBorder="1" applyAlignment="1">
      <alignment horizontal="left"/>
    </xf>
    <xf numFmtId="1" fontId="8" fillId="2" borderId="0" xfId="6" applyNumberFormat="1" applyFont="1" applyFill="1"/>
    <xf numFmtId="0" fontId="8" fillId="2" borderId="0" xfId="6" applyFont="1" applyFill="1"/>
    <xf numFmtId="0" fontId="9" fillId="2" borderId="0" xfId="0" applyFont="1" applyFill="1" applyAlignment="1">
      <alignment vertical="top" wrapText="1"/>
    </xf>
    <xf numFmtId="0" fontId="6" fillId="2" borderId="0" xfId="5" applyFill="1" applyAlignment="1" applyProtection="1">
      <alignment vertical="center"/>
    </xf>
    <xf numFmtId="0" fontId="7" fillId="3" borderId="1" xfId="1" applyFont="1" applyFill="1" applyBorder="1" applyAlignment="1">
      <alignment horizontal="right"/>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1" fontId="8" fillId="2" borderId="0" xfId="6" applyNumberFormat="1" applyFont="1" applyFill="1" applyAlignment="1">
      <alignment horizontal="center" wrapText="1"/>
    </xf>
    <xf numFmtId="1" fontId="4" fillId="2" borderId="0" xfId="3" applyNumberFormat="1" applyFont="1" applyFill="1" applyAlignment="1">
      <alignment horizontal="left"/>
    </xf>
    <xf numFmtId="1" fontId="8" fillId="3" borderId="0" xfId="1" applyNumberFormat="1" applyFont="1" applyFill="1" applyAlignment="1">
      <alignment horizontal="center" vertical="center" wrapText="1"/>
    </xf>
    <xf numFmtId="0" fontId="4" fillId="2" borderId="0" xfId="0" applyFont="1" applyFill="1" applyAlignment="1">
      <alignment horizontal="left" wrapText="1"/>
    </xf>
    <xf numFmtId="166" fontId="4" fillId="5" borderId="0" xfId="3" applyNumberFormat="1" applyFont="1" applyFill="1" applyAlignment="1">
      <alignment horizontal="right"/>
    </xf>
    <xf numFmtId="167" fontId="4" fillId="2" borderId="0" xfId="1" applyNumberFormat="1" applyFont="1" applyFill="1" applyAlignment="1">
      <alignment horizontal="right" vertical="center"/>
    </xf>
    <xf numFmtId="4" fontId="4" fillId="2" borderId="0" xfId="1" applyNumberFormat="1" applyFont="1" applyFill="1" applyAlignment="1">
      <alignment horizontal="right" vertical="center"/>
    </xf>
    <xf numFmtId="3" fontId="4" fillId="5" borderId="0" xfId="1" applyNumberFormat="1" applyFont="1" applyFill="1" applyAlignment="1">
      <alignment horizontal="left" indent="1"/>
    </xf>
    <xf numFmtId="165" fontId="8" fillId="6" borderId="0" xfId="1" applyNumberFormat="1" applyFont="1" applyFill="1"/>
    <xf numFmtId="165" fontId="4" fillId="6" borderId="0" xfId="1" applyNumberFormat="1" applyFont="1" applyFill="1" applyAlignment="1">
      <alignment horizontal="center"/>
    </xf>
    <xf numFmtId="0" fontId="4" fillId="6" borderId="0" xfId="1" applyFont="1" applyFill="1"/>
    <xf numFmtId="3" fontId="4" fillId="3" borderId="0" xfId="1" applyNumberFormat="1" applyFont="1" applyFill="1" applyAlignment="1">
      <alignment horizontal="center"/>
    </xf>
    <xf numFmtId="3" fontId="9" fillId="5" borderId="0" xfId="0" applyNumberFormat="1" applyFont="1" applyFill="1" applyAlignment="1">
      <alignment horizontal="right"/>
    </xf>
    <xf numFmtId="164" fontId="4" fillId="3" borderId="0" xfId="1" applyNumberFormat="1" applyFont="1" applyFill="1" applyAlignment="1">
      <alignment horizontal="center"/>
    </xf>
    <xf numFmtId="166" fontId="4" fillId="3" borderId="0" xfId="1" applyNumberFormat="1" applyFont="1" applyFill="1" applyAlignment="1">
      <alignment horizontal="center"/>
    </xf>
    <xf numFmtId="4" fontId="4" fillId="3" borderId="0" xfId="1" applyNumberFormat="1" applyFont="1" applyFill="1" applyAlignment="1">
      <alignment horizontal="center"/>
    </xf>
    <xf numFmtId="2" fontId="4" fillId="2" borderId="0" xfId="1" applyNumberFormat="1" applyFont="1" applyFill="1" applyAlignment="1">
      <alignment horizontal="center"/>
    </xf>
    <xf numFmtId="2" fontId="4" fillId="5" borderId="0" xfId="1" applyNumberFormat="1" applyFont="1" applyFill="1" applyAlignment="1">
      <alignment horizontal="center"/>
    </xf>
    <xf numFmtId="167" fontId="4" fillId="3" borderId="0" xfId="1" applyNumberFormat="1" applyFont="1" applyFill="1" applyAlignment="1">
      <alignment horizontal="center"/>
    </xf>
    <xf numFmtId="168" fontId="4" fillId="3" borderId="0" xfId="1" applyNumberFormat="1" applyFont="1" applyFill="1" applyAlignment="1">
      <alignment horizontal="center"/>
    </xf>
    <xf numFmtId="1" fontId="4" fillId="5" borderId="0" xfId="1" applyNumberFormat="1" applyFont="1" applyFill="1"/>
    <xf numFmtId="1" fontId="4" fillId="5" borderId="0" xfId="1" applyNumberFormat="1" applyFont="1" applyFill="1" applyAlignment="1">
      <alignment horizontal="right"/>
    </xf>
    <xf numFmtId="1" fontId="8" fillId="5" borderId="0" xfId="1" applyNumberFormat="1" applyFont="1" applyFill="1"/>
    <xf numFmtId="0" fontId="4" fillId="2" borderId="0" xfId="0" applyFont="1" applyFill="1"/>
    <xf numFmtId="169" fontId="9" fillId="2" borderId="0" xfId="0" applyNumberFormat="1" applyFont="1" applyFill="1"/>
    <xf numFmtId="0" fontId="0" fillId="2" borderId="0" xfId="0" applyFill="1"/>
    <xf numFmtId="169" fontId="4" fillId="2" borderId="0" xfId="0" applyNumberFormat="1" applyFont="1" applyFill="1"/>
    <xf numFmtId="2" fontId="4" fillId="2" borderId="0" xfId="2" applyNumberFormat="1" applyFont="1" applyFill="1"/>
    <xf numFmtId="165" fontId="4" fillId="2" borderId="0" xfId="0" applyNumberFormat="1" applyFont="1" applyFill="1"/>
    <xf numFmtId="164" fontId="4" fillId="2" borderId="0" xfId="2" applyNumberFormat="1" applyFont="1" applyFill="1"/>
    <xf numFmtId="164" fontId="9" fillId="2" borderId="0" xfId="0" applyNumberFormat="1" applyFont="1" applyFill="1" applyAlignment="1">
      <alignment horizontal="center" vertical="center"/>
    </xf>
    <xf numFmtId="3" fontId="4" fillId="2" borderId="0" xfId="2" applyNumberFormat="1" applyFont="1" applyFill="1"/>
    <xf numFmtId="3" fontId="4" fillId="2" borderId="0" xfId="901" applyNumberFormat="1" applyFont="1" applyFill="1" applyAlignment="1"/>
    <xf numFmtId="3" fontId="4" fillId="2" borderId="0" xfId="901" applyNumberFormat="1" applyFont="1" applyFill="1"/>
    <xf numFmtId="3" fontId="4" fillId="2" borderId="0" xfId="8" applyNumberFormat="1" applyFont="1" applyFill="1"/>
    <xf numFmtId="3" fontId="4" fillId="2" borderId="0" xfId="8" applyNumberFormat="1" applyFont="1" applyFill="1" applyAlignment="1">
      <alignment horizontal="right"/>
    </xf>
    <xf numFmtId="166" fontId="4" fillId="2" borderId="0" xfId="8" applyNumberFormat="1" applyFont="1" applyFill="1"/>
    <xf numFmtId="166" fontId="4" fillId="2" borderId="0" xfId="8" applyNumberFormat="1" applyFont="1" applyFill="1" applyAlignment="1">
      <alignment horizontal="right"/>
    </xf>
    <xf numFmtId="1" fontId="4" fillId="3" borderId="0" xfId="1" applyNumberFormat="1" applyFont="1" applyFill="1" applyAlignment="1">
      <alignment horizontal="left" wrapText="1"/>
    </xf>
    <xf numFmtId="165" fontId="4" fillId="2" borderId="0" xfId="1" applyNumberFormat="1" applyFont="1" applyFill="1" applyAlignment="1">
      <alignment horizontal="center"/>
    </xf>
    <xf numFmtId="0" fontId="4" fillId="6" borderId="0" xfId="1" applyFont="1" applyFill="1" applyAlignment="1">
      <alignment horizontal="center"/>
    </xf>
    <xf numFmtId="0" fontId="6" fillId="0" borderId="0" xfId="5"/>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0" fontId="4" fillId="2" borderId="0" xfId="1" applyFont="1" applyFill="1" applyAlignment="1">
      <alignment horizontal="left" vertical="top" wrapText="1"/>
    </xf>
    <xf numFmtId="1" fontId="8" fillId="2" borderId="0" xfId="1" applyNumberFormat="1" applyFont="1" applyFill="1" applyAlignment="1">
      <alignment horizontal="center"/>
    </xf>
    <xf numFmtId="1" fontId="8" fillId="2" borderId="0" xfId="6" applyNumberFormat="1" applyFont="1" applyFill="1" applyAlignment="1">
      <alignment horizontal="center" wrapText="1"/>
    </xf>
    <xf numFmtId="1" fontId="4" fillId="3" borderId="0" xfId="1" applyNumberFormat="1" applyFont="1" applyFill="1" applyAlignment="1">
      <alignment horizontal="left" wrapText="1"/>
    </xf>
    <xf numFmtId="1" fontId="4" fillId="2" borderId="0" xfId="3" applyNumberFormat="1" applyFont="1" applyFill="1" applyAlignment="1">
      <alignment horizontal="left"/>
    </xf>
    <xf numFmtId="165" fontId="7" fillId="3" borderId="1" xfId="1" applyNumberFormat="1" applyFont="1" applyFill="1" applyBorder="1" applyAlignment="1">
      <alignment horizontal="center"/>
    </xf>
    <xf numFmtId="3" fontId="4" fillId="2" borderId="0" xfId="1" applyNumberFormat="1" applyFont="1" applyFill="1" applyAlignment="1">
      <alignment horizontal="left" vertical="center" wrapText="1"/>
    </xf>
    <xf numFmtId="1" fontId="8" fillId="3" borderId="0" xfId="1" applyNumberFormat="1" applyFont="1" applyFill="1" applyAlignment="1">
      <alignment horizontal="center" vertical="center" wrapText="1"/>
    </xf>
    <xf numFmtId="165" fontId="8" fillId="2" borderId="1" xfId="1" applyNumberFormat="1" applyFont="1" applyFill="1" applyBorder="1" applyAlignment="1">
      <alignment horizontal="left" wrapText="1"/>
    </xf>
    <xf numFmtId="1" fontId="4" fillId="2" borderId="0" xfId="1" applyNumberFormat="1" applyFont="1" applyFill="1" applyAlignment="1">
      <alignment horizontal="left"/>
    </xf>
    <xf numFmtId="165" fontId="8" fillId="2" borderId="0" xfId="3" applyNumberFormat="1" applyFont="1" applyFill="1" applyAlignment="1">
      <alignment horizontal="left" wrapText="1"/>
    </xf>
    <xf numFmtId="1" fontId="4" fillId="2" borderId="0" xfId="3" applyNumberFormat="1" applyFont="1" applyFill="1" applyAlignment="1">
      <alignment horizontal="left" wrapText="1"/>
    </xf>
    <xf numFmtId="165" fontId="8" fillId="2" borderId="0" xfId="6" applyNumberFormat="1" applyFont="1" applyFill="1" applyAlignment="1">
      <alignment horizontal="left" wrapText="1"/>
    </xf>
  </cellXfs>
  <cellStyles count="902">
    <cellStyle name="20% - Accent1 2" xfId="221" xr:uid="{942F5B23-B60E-4A1B-B858-6D64BD1FED32}"/>
    <cellStyle name="20% - Accent2 2" xfId="222" xr:uid="{4661FE5A-6DEC-4BE4-922E-7E8DE8BC0365}"/>
    <cellStyle name="20% - Accent3 2" xfId="223" xr:uid="{4D96D525-B889-4DD3-9475-69CEC213E0B4}"/>
    <cellStyle name="20% - Accent4 2" xfId="224" xr:uid="{DC1B0DAA-C027-46AF-8BB1-A12A6D9D16BB}"/>
    <cellStyle name="20% - Accent5 2" xfId="225" xr:uid="{F453AC1B-4738-498A-A069-F7EF30F0E8A4}"/>
    <cellStyle name="20% - Accent6 2" xfId="226" xr:uid="{09B7247D-BC80-4E41-A17D-71EA0AE865CC}"/>
    <cellStyle name="40% - Accent1 2" xfId="227" xr:uid="{E7CB8C0F-E9C4-428D-8CF8-D96368FA7A7D}"/>
    <cellStyle name="40% - Accent2 2" xfId="228" xr:uid="{6D323215-8C75-43CE-A464-ED48460D705C}"/>
    <cellStyle name="40% - Accent3 2" xfId="229" xr:uid="{BCC47D34-67ED-4496-80FA-D11A26C03748}"/>
    <cellStyle name="40% - Accent4 2" xfId="230" xr:uid="{2AABBFFE-CADE-4C78-8555-A05594174B6E}"/>
    <cellStyle name="40% - Accent5 2" xfId="231" xr:uid="{E2D9586E-5A9A-4488-A342-71064547BF1A}"/>
    <cellStyle name="40% - Accent6 2" xfId="232" xr:uid="{959AE4A3-4FEB-4B36-9AAC-9BFC9769EE89}"/>
    <cellStyle name="60% - Accent1 2" xfId="233" xr:uid="{60F9AB83-E784-457B-9C70-735BE8F5E66C}"/>
    <cellStyle name="60% - Accent2 2" xfId="234" xr:uid="{85FD9C4C-4463-4880-8A77-3CD21E93547C}"/>
    <cellStyle name="60% - Accent3 2" xfId="235" xr:uid="{0AC39408-4EB8-437F-B46E-4CCC09A95AAB}"/>
    <cellStyle name="60% - Accent4 2" xfId="236" xr:uid="{F1D2C7A4-A0BC-4983-8E3B-C3F6E6775DC1}"/>
    <cellStyle name="60% - Accent5 2" xfId="237" xr:uid="{25D6C91D-6256-4891-9884-EB69B54204E1}"/>
    <cellStyle name="60% - Accent6 2" xfId="238" xr:uid="{44EE8763-D619-4857-B991-1D257D41A93C}"/>
    <cellStyle name="Accent1 2" xfId="239" xr:uid="{6D3C8A89-1130-490D-9086-D9217A0D8ED9}"/>
    <cellStyle name="Accent2 2" xfId="240" xr:uid="{BB9E4DE7-73AE-4CE1-B394-6E44F9E0AFA6}"/>
    <cellStyle name="Accent3 2" xfId="241" xr:uid="{BC72B6AD-4ADF-4766-BE67-14DEBFA6A150}"/>
    <cellStyle name="Accent4 2" xfId="242" xr:uid="{E1ADEF6D-8A72-46E6-A52B-517BCFCFD9C2}"/>
    <cellStyle name="Accent5 2" xfId="243" xr:uid="{5EDED399-4466-4985-8DE4-F2CEA1132F2B}"/>
    <cellStyle name="Accent6 2" xfId="244" xr:uid="{BD4D9C54-FC12-4F97-8D98-699E636C96C9}"/>
    <cellStyle name="Bad 2" xfId="245" xr:uid="{243F9CC0-6695-4828-951E-99B7FE62CF3E}"/>
    <cellStyle name="Calculation 2" xfId="246" xr:uid="{9E0420E3-2DF7-4060-95ED-58D1AFDF371C}"/>
    <cellStyle name="Check Cell 2" xfId="247" xr:uid="{FAB7D985-8A04-4EC4-8EE7-CB5E88B7437C}"/>
    <cellStyle name="Comma" xfId="901" builtinId="3"/>
    <cellStyle name="Comma 2" xfId="12" xr:uid="{2AFB083A-9753-4F83-B213-D4E8D210C627}"/>
    <cellStyle name="Comma 2 2" xfId="23" xr:uid="{21ECC190-F1EC-46B2-9EA3-54B16BE78822}"/>
    <cellStyle name="Comma 2 2 2" xfId="47" xr:uid="{306245A1-D754-4B4D-965D-C9ACCBE25CF5}"/>
    <cellStyle name="Comma 2 3" xfId="248" xr:uid="{E147850F-5944-4F08-B321-7DAAA87EB774}"/>
    <cellStyle name="Comma 2 4" xfId="249" xr:uid="{432BAC57-12FA-49C4-93E0-1A713F74EAB2}"/>
    <cellStyle name="Comma 2 5" xfId="250" xr:uid="{E71AC7FE-39D2-4C4A-8F44-D157F862D9E3}"/>
    <cellStyle name="Comma 2 6" xfId="251" xr:uid="{D88DA78F-FFA3-4A28-8984-341055D89E96}"/>
    <cellStyle name="Comma 2 7" xfId="532" xr:uid="{430FE47C-9E00-460D-A155-6D7CAA2F761C}"/>
    <cellStyle name="Comma 2 8" xfId="42" xr:uid="{31CDEA6A-D454-432A-862D-8FF4576C9D97}"/>
    <cellStyle name="Comma 2 8 2" xfId="894" xr:uid="{E6413FED-ECB1-4832-AC27-62860900C2D9}"/>
    <cellStyle name="Comma 3" xfId="29" xr:uid="{EEBEC222-8D50-45A8-895C-1A2484085951}"/>
    <cellStyle name="Comma 3 2" xfId="48" xr:uid="{C05E006A-F591-4996-8BEB-943D3AE007D0}"/>
    <cellStyle name="Comma 3 2 2" xfId="895" xr:uid="{7A8A29E8-EB73-4747-BB06-3A4E9A1425B3}"/>
    <cellStyle name="Comma 4" xfId="31" xr:uid="{3E65B7B0-0BA0-4D96-8C07-DCAD5886E5E2}"/>
    <cellStyle name="Comma 4 2" xfId="252" xr:uid="{66613CD8-77D9-4BB3-8698-17F8698E3697}"/>
    <cellStyle name="Comma 5" xfId="535" xr:uid="{3CC33CDD-31ED-4442-BDFF-D955B7630F4C}"/>
    <cellStyle name="Comma 6" xfId="898" xr:uid="{9F986CB8-C260-4155-B47D-EEC56C2CB21E}"/>
    <cellStyle name="Comma 9" xfId="253" xr:uid="{C07E398D-E2C2-4BC7-B5EF-7AC7EC9182A9}"/>
    <cellStyle name="Comma0" xfId="254" xr:uid="{8D813361-6767-4263-932C-8438A0BAC6F1}"/>
    <cellStyle name="Currency 2" xfId="255" xr:uid="{215698FA-160B-4063-AFD5-AC8F43A272CA}"/>
    <cellStyle name="Currency 3" xfId="256" xr:uid="{D9377E5D-0C26-497E-9717-DBDDE82015EB}"/>
    <cellStyle name="Currency0" xfId="530" xr:uid="{0F78F3D8-19DD-4946-96EE-F721A047F4F1}"/>
    <cellStyle name="Explanatory Text 2" xfId="257" xr:uid="{3E3F887A-AD5C-4038-A824-74D5CD24B7BE}"/>
    <cellStyle name="Explanatory Text 3" xfId="899" xr:uid="{846A54C1-76BF-4B6D-864B-2C4CBB592C6E}"/>
    <cellStyle name="Good 2" xfId="258" xr:uid="{0A668351-F444-4692-8DE2-257C40F6797D}"/>
    <cellStyle name="Heading 1 2" xfId="259" xr:uid="{1115CE4E-5B98-4AC6-BD0E-4572C5B6A7C5}"/>
    <cellStyle name="Heading 2 2" xfId="260" xr:uid="{42F8FB68-1871-4BDE-9458-23143E7E41BC}"/>
    <cellStyle name="Heading 3 2" xfId="261" xr:uid="{A6149DBA-D9A8-40B1-B1AB-687782F0D024}"/>
    <cellStyle name="Heading 4 2" xfId="262" xr:uid="{1787AC59-410A-4F9B-B993-39DF9EBA42CD}"/>
    <cellStyle name="Hyperlink" xfId="5" builtinId="8" customBuiltin="1"/>
    <cellStyle name="Hyperlink 16" xfId="35" xr:uid="{C33C53A8-9ECD-4EEC-83CF-C49F997AF7DF}"/>
    <cellStyle name="Hyperlink 2" xfId="26" xr:uid="{E9C7C087-90D5-404E-B44D-B368105F3A7B}"/>
    <cellStyle name="Hyperlink 2 2" xfId="49" xr:uid="{0FDDA967-56A1-4F7E-B9B2-01556BB3AD53}"/>
    <cellStyle name="Hyperlink 2 2 2" xfId="892" xr:uid="{2D02BCAC-488F-4E8B-8C2E-E2752AD90CA2}"/>
    <cellStyle name="Hyperlink 3" xfId="32" xr:uid="{9B066A4F-4AFF-46B5-B49B-EC20A5479EB6}"/>
    <cellStyle name="Hyperlink 3 2" xfId="51" xr:uid="{90AE12CB-CFEA-4186-91C5-8DEE23DE3E09}"/>
    <cellStyle name="Hyperlink 3 3" xfId="34" xr:uid="{E773E095-28F8-4C18-9727-C090EFAA9647}"/>
    <cellStyle name="Hyperlink 3 4" xfId="537" xr:uid="{A93F2140-D749-46A4-8211-6E0DAB7E8931}"/>
    <cellStyle name="Hyperlink 4" xfId="56" xr:uid="{59857220-A7D4-4F0D-A78D-CD6ED04D8D7A}"/>
    <cellStyle name="Hyperlink 5" xfId="343" xr:uid="{2E0B085F-B9F1-4025-9270-4A19D1B56E74}"/>
    <cellStyle name="Hyperlink 6" xfId="37" xr:uid="{B61D82D5-EA6D-4D5D-ABC3-3EC0317378D0}"/>
    <cellStyle name="Hyperlink 6 2" xfId="527" xr:uid="{5C343C5A-78A9-4D9A-A603-0DED8111BC65}"/>
    <cellStyle name="Hyperlink 7" xfId="20" xr:uid="{6F6E2031-ED5B-4C0A-B99E-42EEC01F89F7}"/>
    <cellStyle name="Input 2" xfId="263" xr:uid="{FCD424D2-65AC-49A6-9955-A4F585B2AB43}"/>
    <cellStyle name="Linked Cell 2" xfId="264" xr:uid="{49A4959C-D6E6-496F-BF97-0EC90C6CAAE2}"/>
    <cellStyle name="Neutral 2" xfId="265" xr:uid="{B7CDFC86-3965-4A54-8666-CA38950A561A}"/>
    <cellStyle name="Normal" xfId="0" builtinId="0"/>
    <cellStyle name="Normal 10" xfId="54" xr:uid="{01E3000D-51FF-41CE-BFBC-0D80B50879DF}"/>
    <cellStyle name="Normal 10 2" xfId="345" xr:uid="{3D9726FF-A799-48E8-A1FA-85E35249B89C}"/>
    <cellStyle name="Normal 10 2 2" xfId="715" xr:uid="{4E50F2B7-BC94-4C15-8374-1DDDB98C11BD}"/>
    <cellStyle name="Normal 10 3" xfId="539" xr:uid="{B1B5DA2C-EFC5-4CE3-9C22-F81B5061594D}"/>
    <cellStyle name="Normal 11" xfId="266" xr:uid="{97E5E01B-D62A-4418-9AF9-814CC4571264}"/>
    <cellStyle name="Normal 11 2" xfId="267" xr:uid="{DF64F62A-9F93-4D60-B175-B13CD0E9DCA0}"/>
    <cellStyle name="Normal 11 2 2" xfId="702" xr:uid="{2580194B-564D-4067-8841-AC9BC41EAC3D}"/>
    <cellStyle name="Normal 11 3" xfId="268" xr:uid="{21B4D61A-62BF-4DDF-B44B-BBA7A3650CFB}"/>
    <cellStyle name="Normal 11 3 2" xfId="703" xr:uid="{D1ED2C19-B0B6-429F-A926-A058FE99C094}"/>
    <cellStyle name="Normal 11 4" xfId="269" xr:uid="{EDC7D537-2FDB-408B-9972-7F5FAF2B63A3}"/>
    <cellStyle name="Normal 11 4 2" xfId="704" xr:uid="{BEA36518-DF3D-4F58-AAD7-083DA028A250}"/>
    <cellStyle name="Normal 110" xfId="13" xr:uid="{E5EBF0D0-6AEA-4047-B4E5-117B60C99E87}"/>
    <cellStyle name="Normal 110 2" xfId="24" xr:uid="{F53C721B-D0A5-405B-BD2F-16FD15001D76}"/>
    <cellStyle name="Normal 110 3" xfId="891" xr:uid="{3FDFF655-2C83-416A-A160-49B87EEB3C71}"/>
    <cellStyle name="Normal 12" xfId="270" xr:uid="{6C759535-99F5-4F57-A419-9EE047DDB58C}"/>
    <cellStyle name="Normal 12 2" xfId="271" xr:uid="{F2266A16-3946-43AE-8D2E-3D9153FBA9BE}"/>
    <cellStyle name="Normal 12 2 2" xfId="705" xr:uid="{AD6152A7-598C-459C-8FEB-5E11342FB5ED}"/>
    <cellStyle name="Normal 12 3" xfId="272" xr:uid="{97F4D0A9-1D4B-4357-BBC6-CBDCBCA9670E}"/>
    <cellStyle name="Normal 12 3 2" xfId="706" xr:uid="{4A3C9143-5DB3-4894-BBBC-13B7BBAA9E0B}"/>
    <cellStyle name="Normal 12 4" xfId="273" xr:uid="{977A81DB-D8CC-4A45-8905-0EAA1F58D4D4}"/>
    <cellStyle name="Normal 12 4 2" xfId="707" xr:uid="{A5197E7F-A482-4E3A-AF81-A85A9E6320CA}"/>
    <cellStyle name="Normal 13" xfId="274" xr:uid="{283E0B91-7B4C-4CA1-8850-45B0B37CC080}"/>
    <cellStyle name="Normal 13 2" xfId="275" xr:uid="{B9673BAC-AA13-42B5-9C99-5CEC9B30A4D1}"/>
    <cellStyle name="Normal 13 2 2" xfId="708" xr:uid="{64A8442A-6EBC-47F9-9A64-5842AAA7ACBF}"/>
    <cellStyle name="Normal 13 3" xfId="276" xr:uid="{460738B2-D262-47B3-9304-5C5884B25732}"/>
    <cellStyle name="Normal 13 3 2" xfId="709" xr:uid="{13AF5296-B977-49A9-A40D-7DDC84029132}"/>
    <cellStyle name="Normal 13 4" xfId="277" xr:uid="{70404D1C-98B2-442F-9995-520401CB9303}"/>
    <cellStyle name="Normal 13 4 2" xfId="710" xr:uid="{57407EDD-B1F0-46F9-9249-8385372C5CD2}"/>
    <cellStyle name="Normal 14" xfId="278" xr:uid="{09548970-868A-4B2E-8A80-994B378A8AE3}"/>
    <cellStyle name="Normal 14 2" xfId="279" xr:uid="{1D3865EF-CF5F-4839-B5CD-4A1AEB87B203}"/>
    <cellStyle name="Normal 15" xfId="280" xr:uid="{D3242470-AADA-4EC7-AAEB-98B6A4C16341}"/>
    <cellStyle name="Normal 16" xfId="281" xr:uid="{E65F1F86-8399-42AD-B00B-94938B763CCA}"/>
    <cellStyle name="Normal 17" xfId="282" xr:uid="{FB93EA76-EB7B-43DA-B39F-8FF30BB7E601}"/>
    <cellStyle name="Normal 18" xfId="283" xr:uid="{9E302259-91D4-445D-AA04-65A41510729F}"/>
    <cellStyle name="Normal 19" xfId="33" xr:uid="{1188245A-2180-4F0A-A484-09A051F4579A}"/>
    <cellStyle name="Normal 2" xfId="1" xr:uid="{00000000-0005-0000-0000-000002000000}"/>
    <cellStyle name="Normal 2 10" xfId="57" xr:uid="{409BAF58-F074-4DAC-A42D-2EF08887088D}"/>
    <cellStyle name="Normal 2 10 2" xfId="346" xr:uid="{985BC45C-288B-4F94-AA01-D6F9CC604C00}"/>
    <cellStyle name="Normal 2 10 2 2" xfId="716" xr:uid="{19796CB5-BF17-48C3-939B-F0F977C3C7F2}"/>
    <cellStyle name="Normal 2 10 3" xfId="540" xr:uid="{BA5B4601-0764-43C1-8F8A-D16DF51BE245}"/>
    <cellStyle name="Normal 2 11" xfId="58" xr:uid="{9493F3DC-5CDA-46D8-B37D-5253A20DBFAA}"/>
    <cellStyle name="Normal 2 11 2" xfId="347" xr:uid="{B233372D-4AC3-4CE5-B240-41A92E0EEE84}"/>
    <cellStyle name="Normal 2 11 2 2" xfId="717" xr:uid="{1E0DC813-C652-4505-A18D-B5067A96F009}"/>
    <cellStyle name="Normal 2 11 3" xfId="541" xr:uid="{F1E0CF6D-4FE2-4C7E-9955-1EE7C51B9421}"/>
    <cellStyle name="Normal 2 12" xfId="284" xr:uid="{25E6E042-1AF2-4D06-8B3F-78B4B8A44506}"/>
    <cellStyle name="Normal 2 13" xfId="285" xr:uid="{CBD24CBB-4378-49C4-8CC4-E754F68E3C95}"/>
    <cellStyle name="Normal 2 14" xfId="286" xr:uid="{5EDEB4B6-1A56-4F70-9276-54B27923F16C}"/>
    <cellStyle name="Normal 2 15" xfId="287" xr:uid="{0C197B0F-9989-466D-8D19-C480F32B62F6}"/>
    <cellStyle name="Normal 2 16" xfId="288" xr:uid="{1FFF8108-FC91-4B88-9FC7-9773E4828EC3}"/>
    <cellStyle name="Normal 2 17" xfId="289" xr:uid="{96F619A7-24DA-4316-8266-E9E0CFC45F42}"/>
    <cellStyle name="Normal 2 18" xfId="290" xr:uid="{F0643055-B4C7-41E9-A13E-0C74946DCE92}"/>
    <cellStyle name="Normal 2 19" xfId="291" xr:uid="{12FAF6F7-EB1D-4598-A024-D57914AB1871}"/>
    <cellStyle name="Normal 2 2" xfId="7" xr:uid="{AC8B9868-42F7-4F9A-A720-0235D3AC3503}"/>
    <cellStyle name="Normal 2 2 10" xfId="348" xr:uid="{FB643C6C-1197-44C4-B89C-5E1CE9FFEC36}"/>
    <cellStyle name="Normal 2 2 10 2" xfId="718" xr:uid="{5F301563-69F2-4A60-826D-1C12386EE4E8}"/>
    <cellStyle name="Normal 2 2 2" xfId="59" xr:uid="{D361B25C-0C1A-4BF9-B6C4-36010750DFAF}"/>
    <cellStyle name="Normal 2 2 2 2" xfId="60" xr:uid="{7C6F6E60-FA56-43E9-BABF-BF462847DF51}"/>
    <cellStyle name="Normal 2 2 2 2 2" xfId="349" xr:uid="{C0BE7DE9-0B69-4537-A0B2-1882DF874D40}"/>
    <cellStyle name="Normal 2 2 2 2 2 2" xfId="719" xr:uid="{6B5D752B-ADB4-4B85-A02F-EAFBBA25647F}"/>
    <cellStyle name="Normal 2 2 2 2 3" xfId="543" xr:uid="{EDA24BBD-9FFF-4627-A27E-5F1098B0A218}"/>
    <cellStyle name="Normal 2 2 2 3" xfId="61" xr:uid="{C9F5F8B9-0985-4243-9C53-77CF46B579B5}"/>
    <cellStyle name="Normal 2 2 2 3 2" xfId="350" xr:uid="{89A4DB30-594B-40A2-8BFD-5D6DF2F386F2}"/>
    <cellStyle name="Normal 2 2 2 3 2 2" xfId="720" xr:uid="{698037E4-9EDF-4905-A5D2-3C565CFCB964}"/>
    <cellStyle name="Normal 2 2 2 3 3" xfId="544" xr:uid="{08FBD467-3C50-41F6-934A-0F8C7A08F4B1}"/>
    <cellStyle name="Normal 2 2 2 4" xfId="351" xr:uid="{1E4E46E0-0E3F-447F-AB8D-AA56C53A18E2}"/>
    <cellStyle name="Normal 2 2 2 4 2" xfId="721" xr:uid="{F0FBA0D7-8E9D-4AB0-B241-23C4DDDC9560}"/>
    <cellStyle name="Normal 2 2 2 5" xfId="542" xr:uid="{184E1D96-77B5-45CC-AB0E-0C6E23C17AAC}"/>
    <cellStyle name="Normal 2 2 3" xfId="62" xr:uid="{6EB5257B-CE82-42E8-8E64-0D9352022366}"/>
    <cellStyle name="Normal 2 2 3 2" xfId="63" xr:uid="{AA38638F-7217-4F53-899A-00377ED55983}"/>
    <cellStyle name="Normal 2 2 3 2 2" xfId="352" xr:uid="{C903D931-9C75-4A22-AED6-B0977CED4041}"/>
    <cellStyle name="Normal 2 2 3 2 2 2" xfId="722" xr:uid="{87E649A5-8224-43C4-BD4B-117A13320C91}"/>
    <cellStyle name="Normal 2 2 3 2 3" xfId="546" xr:uid="{E7F4CA19-65A1-4F18-85F9-844CE884B496}"/>
    <cellStyle name="Normal 2 2 3 3" xfId="353" xr:uid="{BBD38D96-0A85-43A6-96C2-F23C4C318C45}"/>
    <cellStyle name="Normal 2 2 3 3 2" xfId="723" xr:uid="{8E9C2D13-E5F1-415A-A266-4A679EEAFA02}"/>
    <cellStyle name="Normal 2 2 3 4" xfId="545" xr:uid="{778CEEFA-0206-42F1-8B6A-54A3C52346E4}"/>
    <cellStyle name="Normal 2 2 4" xfId="64" xr:uid="{83D61452-2D25-4B84-AE03-770D96FD9E71}"/>
    <cellStyle name="Normal 2 2 4 2" xfId="65" xr:uid="{3FE7C843-961C-419F-AECF-711E036FA8A9}"/>
    <cellStyle name="Normal 2 2 4 2 2" xfId="354" xr:uid="{394CFE37-218F-4339-97BF-E1B8EBB10DB7}"/>
    <cellStyle name="Normal 2 2 4 2 2 2" xfId="724" xr:uid="{C8F71F15-22FF-4371-8A5A-6461F05D1C81}"/>
    <cellStyle name="Normal 2 2 4 2 3" xfId="548" xr:uid="{0E31C4FC-0BEB-4941-90A9-792F0DF772A4}"/>
    <cellStyle name="Normal 2 2 4 3" xfId="355" xr:uid="{C68CD096-A041-42F9-AFC2-3128669DC1D1}"/>
    <cellStyle name="Normal 2 2 4 3 2" xfId="725" xr:uid="{C28B262B-EE26-4DA5-9CD8-EEFD5D17B97F}"/>
    <cellStyle name="Normal 2 2 4 4" xfId="547" xr:uid="{1EF17F6E-9000-4C2E-9180-A1454AD750A1}"/>
    <cellStyle name="Normal 2 2 5" xfId="66" xr:uid="{118DA17D-2480-4EF7-9F75-D3A12B72D498}"/>
    <cellStyle name="Normal 2 2 5 2" xfId="67" xr:uid="{B97540CC-B2BC-428C-9F8D-9AB2DB2C7446}"/>
    <cellStyle name="Normal 2 2 5 2 2" xfId="356" xr:uid="{0B4FEB45-511F-495C-8AA4-D4C896A0C4D8}"/>
    <cellStyle name="Normal 2 2 5 2 2 2" xfId="726" xr:uid="{CFB6764E-7F37-43CF-B7D9-0B92233EEF83}"/>
    <cellStyle name="Normal 2 2 5 2 3" xfId="550" xr:uid="{7FF387D4-C8A0-40D7-996D-8FDA81CFA6E3}"/>
    <cellStyle name="Normal 2 2 5 3" xfId="357" xr:uid="{38019635-4854-43E2-844A-C0634BD7A9A2}"/>
    <cellStyle name="Normal 2 2 5 3 2" xfId="727" xr:uid="{160D2EC6-A25E-4E8F-A98D-E66D342DC58E}"/>
    <cellStyle name="Normal 2 2 5 4" xfId="549" xr:uid="{67A32B3B-9348-4ADD-91C5-426F2B90AB8D}"/>
    <cellStyle name="Normal 2 2 6" xfId="68" xr:uid="{7A10DDFC-B8A1-46CB-B370-5A70C07A89BA}"/>
    <cellStyle name="Normal 2 2 6 2" xfId="358" xr:uid="{D5815E2E-54D6-4318-8B11-CC99322C40B2}"/>
    <cellStyle name="Normal 2 2 6 2 2" xfId="728" xr:uid="{1979BA10-FDA1-4A5D-9538-EE0656B92D78}"/>
    <cellStyle name="Normal 2 2 6 3" xfId="551" xr:uid="{326B0DE1-EC1E-49F4-B851-74E26209CA6D}"/>
    <cellStyle name="Normal 2 2 7" xfId="69" xr:uid="{1F3C8DDC-CDAA-49CA-BD2C-0B504EA28A46}"/>
    <cellStyle name="Normal 2 2 7 2" xfId="359" xr:uid="{638CA240-799E-42E6-88B7-27BF412BA8F6}"/>
    <cellStyle name="Normal 2 2 7 2 2" xfId="729" xr:uid="{1C0F256A-474A-4FF2-A394-030C675B60D0}"/>
    <cellStyle name="Normal 2 2 7 3" xfId="552" xr:uid="{ECFBFA48-3129-48EF-A614-5B25749A8D5F}"/>
    <cellStyle name="Normal 2 2 8" xfId="70" xr:uid="{AF011A87-0D79-4B06-B8A6-1046C63B969A}"/>
    <cellStyle name="Normal 2 2 8 2" xfId="360" xr:uid="{BB3FFAF6-E713-4BDF-9562-BB0F287D7A37}"/>
    <cellStyle name="Normal 2 2 8 2 2" xfId="730" xr:uid="{AFE9AF21-D2F1-4ADF-BA75-72B9A6820BCD}"/>
    <cellStyle name="Normal 2 2 8 3" xfId="553" xr:uid="{4600712A-3213-48A0-AC73-9A3A1EC25EFD}"/>
    <cellStyle name="Normal 2 2 9" xfId="361" xr:uid="{C6131DAC-3279-4493-96B3-470F2AA37878}"/>
    <cellStyle name="Normal 2 20" xfId="292" xr:uid="{A1E7ADFD-023B-4105-B27A-E3DDC85506DA}"/>
    <cellStyle name="Normal 2 21" xfId="293" xr:uid="{6EBB9109-BED8-4474-8C8C-2955E0278109}"/>
    <cellStyle name="Normal 2 22" xfId="294" xr:uid="{973407B3-C1B7-4F24-BA46-93489BDE2987}"/>
    <cellStyle name="Normal 2 23" xfId="295" xr:uid="{37FBD97F-F613-440A-ADFF-B06C324236D6}"/>
    <cellStyle name="Normal 2 24" xfId="344" xr:uid="{76ECD089-3FC5-45C1-84C5-8092F09C537A}"/>
    <cellStyle name="Normal 2 25" xfId="531" xr:uid="{6E81FA11-4B05-49EC-B9D8-57BD93F87FF4}"/>
    <cellStyle name="Normal 2 26" xfId="19" xr:uid="{520E816E-B46D-447F-B9E6-163A7F987AD6}"/>
    <cellStyle name="Normal 2 3" xfId="8" xr:uid="{2F064EA9-8A18-4879-A9EF-5E920DF81353}"/>
    <cellStyle name="Normal 2 3 11" xfId="10" xr:uid="{35D6A23A-E518-4DF1-990B-116F56C96F29}"/>
    <cellStyle name="Normal 2 3 2" xfId="2" xr:uid="{00000000-0005-0000-0000-000003000000}"/>
    <cellStyle name="Normal 2 3 2 2" xfId="71" xr:uid="{0E88CFD8-6151-4821-BF07-65E0A337135C}"/>
    <cellStyle name="Normal 2 3 2 2 2" xfId="362" xr:uid="{9A5F3753-E17A-4636-B1FC-E042D68FD188}"/>
    <cellStyle name="Normal 2 3 2 2 2 2" xfId="731" xr:uid="{75545834-3A15-4CC8-A82C-2F8A5071018E}"/>
    <cellStyle name="Normal 2 3 2 2 3" xfId="554" xr:uid="{128C99E1-7FFF-427C-B243-62CA03651EDC}"/>
    <cellStyle name="Normal 2 3 2 3" xfId="72" xr:uid="{68DFB6F5-3194-4A4C-87B7-D39074B4C3A3}"/>
    <cellStyle name="Normal 2 3 2 3 2" xfId="363" xr:uid="{483E0B76-071A-464E-BC4C-0B2DDB0A04D3}"/>
    <cellStyle name="Normal 2 3 2 3 2 2" xfId="732" xr:uid="{0A238819-9157-41CF-B532-CB0A4F5116EB}"/>
    <cellStyle name="Normal 2 3 2 3 3" xfId="555" xr:uid="{DCA70F03-678D-44CB-BCE6-9ABC992A8EF7}"/>
    <cellStyle name="Normal 2 3 2 4" xfId="364" xr:uid="{3DE591ED-D437-4852-A0B0-FF92E092291A}"/>
    <cellStyle name="Normal 2 3 2 5" xfId="39" xr:uid="{57F8D6E7-54AF-41A4-82F9-D90294063873}"/>
    <cellStyle name="Normal 2 3 2 6" xfId="18" xr:uid="{8BCD221D-6835-45C8-B745-6017AB2DFB99}"/>
    <cellStyle name="Normal 2 3 3" xfId="73" xr:uid="{39C5E4F2-38DB-43C2-8E33-179A086BE86A}"/>
    <cellStyle name="Normal 2 3 4" xfId="74" xr:uid="{A600C29A-E47F-429C-8B8C-8D6A40BB7EAE}"/>
    <cellStyle name="Normal 2 3 4 2" xfId="365" xr:uid="{3A74EDB3-1187-4E63-B389-2C7FF6F4E274}"/>
    <cellStyle name="Normal 2 3 4 2 2" xfId="733" xr:uid="{F9808ECA-FC11-4A9A-9A64-EDDD5EF346F5}"/>
    <cellStyle name="Normal 2 3 4 3" xfId="556" xr:uid="{EC2338A3-B1AD-44C7-98D6-48DBA4A587F4}"/>
    <cellStyle name="Normal 2 3 5" xfId="75" xr:uid="{EE24654A-51A6-4B82-BDF7-5CA5D5F3F643}"/>
    <cellStyle name="Normal 2 3 5 2" xfId="366" xr:uid="{4B2C698B-23DC-4807-AD71-A8E832786A1E}"/>
    <cellStyle name="Normal 2 3 5 2 2" xfId="734" xr:uid="{F9AA3548-52A9-4CD5-A5CC-F0F94C5E6EBC}"/>
    <cellStyle name="Normal 2 3 5 3" xfId="557" xr:uid="{B20FEE6D-8E92-41E5-BD58-A798F04DFEEA}"/>
    <cellStyle name="Normal 2 3 6" xfId="367" xr:uid="{802FB1CA-CAAA-4E48-B761-A2A637B4AFB9}"/>
    <cellStyle name="Normal 2 3 6 2" xfId="735" xr:uid="{771E41FD-9FC8-465B-A176-49EF784BCEED}"/>
    <cellStyle name="Normal 2 3 7" xfId="46" xr:uid="{6C6E418E-4D87-4561-B970-BCD13DBEC369}"/>
    <cellStyle name="Normal 2 3 8" xfId="38" xr:uid="{5E15C6EC-38A9-4839-86E4-CCC6F35165A2}"/>
    <cellStyle name="Normal 2 4" xfId="16" xr:uid="{B0F837FB-FCAC-434A-9BD1-E9C42F01B7CA}"/>
    <cellStyle name="Normal 2 4 2" xfId="77" xr:uid="{EC7C12AB-8CDE-452B-80E3-1C52FF5BAE62}"/>
    <cellStyle name="Normal 2 4 2 2" xfId="368" xr:uid="{47A9CDE1-4A09-48B2-ACF1-2A0BF505E885}"/>
    <cellStyle name="Normal 2 4 2 2 2" xfId="736" xr:uid="{FC597538-4B16-4152-BC75-5FF887E34AF9}"/>
    <cellStyle name="Normal 2 4 2 3" xfId="558" xr:uid="{1ECE7AE4-6446-4B01-8C8A-B6997D445121}"/>
    <cellStyle name="Normal 2 4 3" xfId="76" xr:uid="{E152B61C-5129-403A-AD5D-980D2781A2F1}"/>
    <cellStyle name="Normal 2 4 3 2" xfId="893" xr:uid="{C5F8BC85-52A2-4261-BB92-DA299460B960}"/>
    <cellStyle name="Normal 2 5" xfId="28" xr:uid="{FA483112-AE93-4B45-B25C-1367BC0A1793}"/>
    <cellStyle name="Normal 2 5 2" xfId="78" xr:uid="{B952B5AD-D93E-4A3C-B9C0-2C01EA0B4AD3}"/>
    <cellStyle name="Normal 2 5 2 2" xfId="369" xr:uid="{7094C4F3-9A0F-4DB5-B28B-D38B282D20BA}"/>
    <cellStyle name="Normal 2 5 2 2 2" xfId="737" xr:uid="{63536A8D-ACA2-4E50-B5A1-362CE1828A2B}"/>
    <cellStyle name="Normal 2 5 2 3" xfId="560" xr:uid="{61775CEE-EFFA-4DC4-8E12-C5A88C697569}"/>
    <cellStyle name="Normal 2 5 3" xfId="370" xr:uid="{BF78DFAA-FCB6-4187-837B-CE7CE22F6195}"/>
    <cellStyle name="Normal 2 5 3 2" xfId="738" xr:uid="{404D8F11-3E9C-4E64-A133-FD16C17A19F2}"/>
    <cellStyle name="Normal 2 5 4" xfId="559" xr:uid="{8B78E2BD-CB48-4A97-8D82-4A0D5B1CF644}"/>
    <cellStyle name="Normal 2 6" xfId="25" xr:uid="{C82404C0-6FFE-4CAF-AE38-5C44177E1336}"/>
    <cellStyle name="Normal 2 6 2" xfId="80" xr:uid="{F22B293D-02D8-4B78-9390-9F08D63B4B87}"/>
    <cellStyle name="Normal 2 6 2 2" xfId="371" xr:uid="{D518FD47-9B86-414C-BC48-693CC72C680D}"/>
    <cellStyle name="Normal 2 6 2 2 2" xfId="739" xr:uid="{8C430C2C-AEEE-4A5E-BAA5-CCDDACCC4073}"/>
    <cellStyle name="Normal 2 6 2 3" xfId="562" xr:uid="{FC61627E-2465-4FE9-A52C-E5BC23D9EF15}"/>
    <cellStyle name="Normal 2 6 3" xfId="372" xr:uid="{68DE4A89-E27C-44D4-90A0-89DE42CF0DF6}"/>
    <cellStyle name="Normal 2 6 3 2" xfId="740" xr:uid="{03B9DCB7-0256-4CA0-86A7-123788C2E061}"/>
    <cellStyle name="Normal 2 6 4" xfId="79" xr:uid="{FCBEEAEB-A7E0-4757-B7BF-FAD306F3C8C2}"/>
    <cellStyle name="Normal 2 6 5" xfId="561" xr:uid="{5C8222D2-1181-4622-BD81-0FB8A3D66D8B}"/>
    <cellStyle name="Normal 2 7" xfId="81" xr:uid="{359C2AAF-CC42-4241-886D-84916C71DEB2}"/>
    <cellStyle name="Normal 2 7 2" xfId="82" xr:uid="{BD7865F9-5004-4818-B190-96AC21834B6F}"/>
    <cellStyle name="Normal 2 7 2 2" xfId="373" xr:uid="{27C67C53-EE7B-4E7E-A778-3153598144D6}"/>
    <cellStyle name="Normal 2 7 2 2 2" xfId="741" xr:uid="{1BF85F71-72A3-469C-9AD4-8FBE6C905ACD}"/>
    <cellStyle name="Normal 2 7 2 3" xfId="564" xr:uid="{CB2627DF-F012-4CA1-B70C-8234ECEB3FFF}"/>
    <cellStyle name="Normal 2 7 3" xfId="374" xr:uid="{700C50B6-9A8D-4659-AA56-D18588AA9D0E}"/>
    <cellStyle name="Normal 2 7 3 2" xfId="742" xr:uid="{E71D050A-8F06-4280-985B-F5219C471715}"/>
    <cellStyle name="Normal 2 7 4" xfId="563" xr:uid="{B6C04143-76E0-4554-86E9-9DA1AA5804EB}"/>
    <cellStyle name="Normal 2 8" xfId="83" xr:uid="{1E4A7BBE-3C3D-438F-8554-A1272013657D}"/>
    <cellStyle name="Normal 2 8 2" xfId="84" xr:uid="{61E77656-9B92-4614-BC91-339A0DC3B7E1}"/>
    <cellStyle name="Normal 2 8 2 2" xfId="375" xr:uid="{C20A7367-C5B1-447B-A153-0157A28BBFD7}"/>
    <cellStyle name="Normal 2 8 2 2 2" xfId="743" xr:uid="{812E2625-E82B-4DE8-A626-939C19B1168C}"/>
    <cellStyle name="Normal 2 8 2 3" xfId="566" xr:uid="{AC8FD7AB-06DD-4751-AE6F-A60BB8B22D9B}"/>
    <cellStyle name="Normal 2 8 3" xfId="376" xr:uid="{848BC61B-5A59-4E8D-A29C-2618D529E6CD}"/>
    <cellStyle name="Normal 2 8 3 2" xfId="744" xr:uid="{28228E43-7933-401E-8CA3-49F3F1738496}"/>
    <cellStyle name="Normal 2 8 4" xfId="565" xr:uid="{844C828F-DD05-4EB7-863C-18556082233A}"/>
    <cellStyle name="Normal 2 9" xfId="85" xr:uid="{4F1A5343-6BAE-4388-8B5C-FD768137927E}"/>
    <cellStyle name="Normal 2 9 2" xfId="377" xr:uid="{A4EF4D7B-716D-45D3-BA30-548B99D1CA10}"/>
    <cellStyle name="Normal 2 9 2 2" xfId="745" xr:uid="{80D91E42-2E6E-407E-AD1A-7992D893AA69}"/>
    <cellStyle name="Normal 2 9 3" xfId="567" xr:uid="{08B5C799-6870-4F5B-883A-AB3D6B25C0B6}"/>
    <cellStyle name="Normal 20" xfId="40" xr:uid="{9457E0EA-E343-4972-AC38-42400D6EA1DE}"/>
    <cellStyle name="Normal 20 2" xfId="897" xr:uid="{818AA297-E3C1-46F8-A131-A9B58B73148B}"/>
    <cellStyle name="Normal 21" xfId="36" xr:uid="{F3DEEFF1-697B-4532-A927-49E6476F50C0}"/>
    <cellStyle name="Normal 21 2" xfId="896" xr:uid="{53B9422C-857A-43C9-B6F2-CD775568ADB6}"/>
    <cellStyle name="Normal 22" xfId="536" xr:uid="{02D7FAED-BD13-472F-9FBE-C4C006F18B26}"/>
    <cellStyle name="Normal 23" xfId="900" xr:uid="{C30581CA-AA67-47A9-AF2A-B49CE46723E4}"/>
    <cellStyle name="Normal 3" xfId="3" xr:uid="{00000000-0005-0000-0000-000004000000}"/>
    <cellStyle name="Normal 3 10" xfId="296" xr:uid="{351C5C1E-B246-4441-90AA-4F3E40656439}"/>
    <cellStyle name="Normal 3 11" xfId="297" xr:uid="{A40241FE-8E05-45E4-9853-44D70FC90607}"/>
    <cellStyle name="Normal 3 12" xfId="298" xr:uid="{CE92FE2A-BA67-400E-B4F0-CD59511F9107}"/>
    <cellStyle name="Normal 3 13" xfId="299" xr:uid="{A01E6AD7-A345-4914-8387-338E94E66C68}"/>
    <cellStyle name="Normal 3 14" xfId="41" xr:uid="{66360F51-CBB3-48E0-AB11-BC8ABB1D1802}"/>
    <cellStyle name="Normal 3 15" xfId="21" xr:uid="{072C4B8A-4EA4-486C-98CE-B6568436390A}"/>
    <cellStyle name="Normal 3 2" xfId="6" xr:uid="{00000000-0005-0000-0000-000005000000}"/>
    <cellStyle name="Normal 3 2 2" xfId="55" xr:uid="{878E48F8-7B19-44A7-8993-2D8930D14315}"/>
    <cellStyle name="Normal 3 2 2 2" xfId="86" xr:uid="{6E88453F-71F0-478E-93FA-77A1B775445C}"/>
    <cellStyle name="Normal 3 2 2 3" xfId="378" xr:uid="{BBD02483-D831-44A2-A2D1-8237D6519A28}"/>
    <cellStyle name="Normal 3 2 2 3 2" xfId="746" xr:uid="{3686B2DB-2BE9-45E1-846B-632AF724DC72}"/>
    <cellStyle name="Normal 3 2 3" xfId="87" xr:uid="{EECE8350-911C-481C-AED0-64BD4F1D28C2}"/>
    <cellStyle name="Normal 3 2 3 2" xfId="379" xr:uid="{74BC539F-823B-4DD4-9F20-5D0CEBD45F2E}"/>
    <cellStyle name="Normal 3 2 4" xfId="88" xr:uid="{7147FB7A-A5F0-406C-B133-0D330C70D7E2}"/>
    <cellStyle name="Normal 3 2 5" xfId="380" xr:uid="{B3C7536E-ACD6-456B-9A7E-72C4812F7979}"/>
    <cellStyle name="Normal 3 2 6" xfId="381" xr:uid="{8782AFE3-928E-44E8-ADD3-35F6D5741A08}"/>
    <cellStyle name="Normal 3 2 6 2" xfId="747" xr:uid="{302A5CDF-200E-4B9A-B0AF-430BD780D96C}"/>
    <cellStyle name="Normal 3 2 7" xfId="15" xr:uid="{75092436-0F55-4AF1-B4C0-A15D20BBF426}"/>
    <cellStyle name="Normal 3 3" xfId="89" xr:uid="{0AA28CBB-5B17-4A0E-AE7A-87C1468A5F21}"/>
    <cellStyle name="Normal 3 3 2" xfId="90" xr:uid="{CDE6F847-FA47-4ED8-809D-6B22F60B38C8}"/>
    <cellStyle name="Normal 3 3 2 2" xfId="382" xr:uid="{37D622EA-9D78-466B-8526-4C161B805371}"/>
    <cellStyle name="Normal 3 3 2 2 2" xfId="748" xr:uid="{E8ECC2F4-6405-4D40-8324-48210B58DF4E}"/>
    <cellStyle name="Normal 3 3 2 3" xfId="569" xr:uid="{5FF04EA2-E6DD-47A5-9959-51B02F7FBE7F}"/>
    <cellStyle name="Normal 3 3 3" xfId="91" xr:uid="{19794B45-D301-495D-B082-9824A880CBBC}"/>
    <cellStyle name="Normal 3 3 3 2" xfId="383" xr:uid="{3B31B039-B8B9-4FD1-8C5E-761372B05C1B}"/>
    <cellStyle name="Normal 3 3 3 2 2" xfId="749" xr:uid="{C10CE73F-588C-46F6-9C70-8B9A953D9646}"/>
    <cellStyle name="Normal 3 3 3 3" xfId="570" xr:uid="{57F088DB-95A7-46B2-8CEF-B3B068ACCAC9}"/>
    <cellStyle name="Normal 3 3 4" xfId="384" xr:uid="{ADD1980D-777E-44D4-8670-8936516A1ED8}"/>
    <cellStyle name="Normal 3 3 4 2" xfId="750" xr:uid="{E18DD205-FB1D-4F75-A05C-256C6BD71BB9}"/>
    <cellStyle name="Normal 3 3 5" xfId="568" xr:uid="{3461D775-E047-4EDF-B616-E372E4292763}"/>
    <cellStyle name="Normal 3 4" xfId="92" xr:uid="{4F65E9AA-43BB-42D5-A6A1-DA5C1068B7AB}"/>
    <cellStyle name="Normal 3 4 2" xfId="93" xr:uid="{5958787B-8A19-4970-9654-261DBE23542A}"/>
    <cellStyle name="Normal 3 4 2 2" xfId="385" xr:uid="{63B6B7D8-6E8D-474D-BED0-586ACFAFC814}"/>
    <cellStyle name="Normal 3 4 2 2 2" xfId="751" xr:uid="{48CBFA1B-9313-4F48-87BB-5F0F22A2BC37}"/>
    <cellStyle name="Normal 3 4 2 3" xfId="572" xr:uid="{3A508ADF-D452-4A32-B8F0-350451303247}"/>
    <cellStyle name="Normal 3 4 3" xfId="386" xr:uid="{C1801D08-9253-40E5-8212-4726BCDB75B9}"/>
    <cellStyle name="Normal 3 4 3 2" xfId="752" xr:uid="{F98696B6-A0B0-40C5-9B87-3E87972C1483}"/>
    <cellStyle name="Normal 3 4 4" xfId="571" xr:uid="{291999A8-3181-47AE-9924-8CCCAA077E79}"/>
    <cellStyle name="Normal 3 5" xfId="94" xr:uid="{3D9FD98A-A965-4313-9499-806DAF95CA0E}"/>
    <cellStyle name="Normal 3 5 2" xfId="95" xr:uid="{E10693A5-59A7-4496-99DA-AE326DD12CAE}"/>
    <cellStyle name="Normal 3 5 2 2" xfId="387" xr:uid="{EC33CE31-563B-49FB-BC3B-721AE6DCCE71}"/>
    <cellStyle name="Normal 3 5 2 2 2" xfId="753" xr:uid="{37F75C03-830E-4800-A645-2A6638C4296D}"/>
    <cellStyle name="Normal 3 5 2 3" xfId="574" xr:uid="{25C9442E-7C85-4C7A-80D7-C21B56930A1A}"/>
    <cellStyle name="Normal 3 5 3" xfId="388" xr:uid="{D9FF4D46-C6BD-476B-804C-F72100A3B72B}"/>
    <cellStyle name="Normal 3 5 3 2" xfId="754" xr:uid="{AEF1AD26-25F2-4042-8F79-E2AA6ACE209D}"/>
    <cellStyle name="Normal 3 5 4" xfId="573" xr:uid="{8E280115-B35D-4EB4-A838-1BB46FFBE898}"/>
    <cellStyle name="Normal 3 6" xfId="96" xr:uid="{4283A228-259F-4841-872F-6FA2003E7866}"/>
    <cellStyle name="Normal 3 6 2" xfId="97" xr:uid="{87D74225-70F5-4A6E-8D35-5C19A3934501}"/>
    <cellStyle name="Normal 3 6 2 2" xfId="389" xr:uid="{37480D1A-07C5-4AE4-946B-71E606FD464E}"/>
    <cellStyle name="Normal 3 6 2 2 2" xfId="755" xr:uid="{BCAA4841-0D8D-4E62-A467-CCE3463C5D38}"/>
    <cellStyle name="Normal 3 6 2 3" xfId="576" xr:uid="{3CCAF7B7-2DAC-451E-9DB5-E026D10F4ED8}"/>
    <cellStyle name="Normal 3 6 3" xfId="390" xr:uid="{3DEB0EF1-C012-4DA0-B658-D49C38A376B3}"/>
    <cellStyle name="Normal 3 6 3 2" xfId="756" xr:uid="{9FBBE070-ED78-4E14-9FD2-8B3650B04ECF}"/>
    <cellStyle name="Normal 3 6 4" xfId="575" xr:uid="{41F484E7-A733-495C-AE72-AFC6E8AA2B86}"/>
    <cellStyle name="Normal 3 7" xfId="98" xr:uid="{5365C2CC-A293-494F-B44C-3C70E52FCC5C}"/>
    <cellStyle name="Normal 3 7 2" xfId="391" xr:uid="{9F73E61C-8F48-4DD9-8570-501A6F790539}"/>
    <cellStyle name="Normal 3 7 2 2" xfId="757" xr:uid="{AA173A22-E1E8-4B87-9A58-3E60A6D281BF}"/>
    <cellStyle name="Normal 3 7 3" xfId="577" xr:uid="{8722D57C-686D-4137-B5F5-3B24ADA1BB8F}"/>
    <cellStyle name="Normal 3 8" xfId="99" xr:uid="{15E1A9C1-228E-4FD3-833A-E0A8AD073E45}"/>
    <cellStyle name="Normal 3 8 2" xfId="392" xr:uid="{AFFE5977-EDD3-4091-82CE-8F8512F718FB}"/>
    <cellStyle name="Normal 3 8 2 2" xfId="758" xr:uid="{EE76F69C-03BD-4801-A3BE-54BB79CD42A2}"/>
    <cellStyle name="Normal 3 8 3" xfId="578" xr:uid="{B301925E-3689-4B76-B48D-C2A69F1C7C52}"/>
    <cellStyle name="Normal 3 9" xfId="100" xr:uid="{87E20F13-3C41-49EA-A6FB-5861D2675177}"/>
    <cellStyle name="Normal 3 9 2" xfId="393" xr:uid="{99EEDE6D-2FBC-41A9-A7CD-64D3BCBE4047}"/>
    <cellStyle name="Normal 3 9 2 2" xfId="759" xr:uid="{AA7593D5-C589-408C-B89D-CA797C1E3FE7}"/>
    <cellStyle name="Normal 3 9 3" xfId="579" xr:uid="{520B8200-B14E-43EA-A311-20B4579787E9}"/>
    <cellStyle name="Normal 4" xfId="14" xr:uid="{8EB57C72-A3F8-45CE-81F7-5E097615A6D6}"/>
    <cellStyle name="Normal 4 10" xfId="101" xr:uid="{68E90946-4269-4CF4-BDCD-B40FA30611F5}"/>
    <cellStyle name="Normal 4 10 2" xfId="394" xr:uid="{D0EFABB8-16C5-4F53-B6AC-5048576CBEAE}"/>
    <cellStyle name="Normal 4 10 2 2" xfId="395" xr:uid="{973D1EA8-F81B-40E9-861B-81E78265465E}"/>
    <cellStyle name="Normal 4 10 2 2 2" xfId="761" xr:uid="{7B6FD83F-84C0-4369-B8D9-17B24C483F1B}"/>
    <cellStyle name="Normal 4 10 2 3" xfId="760" xr:uid="{CACFEE69-F54B-4B79-8449-E960D14E1CCC}"/>
    <cellStyle name="Normal 4 10 3" xfId="396" xr:uid="{E74F5353-AE0E-4745-B311-DDF03BDA2EC6}"/>
    <cellStyle name="Normal 4 10 3 2" xfId="762" xr:uid="{A082238F-ADA3-4FF0-8632-F89DC87A1055}"/>
    <cellStyle name="Normal 4 10 4" xfId="580" xr:uid="{0CF22D50-6AC7-48C6-B7E7-453D2FDB0035}"/>
    <cellStyle name="Normal 4 11" xfId="300" xr:uid="{09432578-9E13-4B83-AEA8-383BB473A1DB}"/>
    <cellStyle name="Normal 4 11 2" xfId="528" xr:uid="{0F49799F-2D16-4DEB-97ED-8C07F9CBD853}"/>
    <cellStyle name="Normal 4 12" xfId="301" xr:uid="{193FA2E7-F4D8-4898-8A82-AC5D55F81AB6}"/>
    <cellStyle name="Normal 4 13" xfId="302" xr:uid="{D20514FC-5517-4178-9B40-71DE2C575BD1}"/>
    <cellStyle name="Normal 4 14" xfId="43" xr:uid="{81686FFF-DEBD-42DD-8F7F-5D12B5A69EC0}"/>
    <cellStyle name="Normal 4 2" xfId="30" xr:uid="{39023FB6-7977-4D8D-9777-40A6D0C71CE1}"/>
    <cellStyle name="Normal 4 2 2" xfId="102" xr:uid="{23965E6E-11CD-4A61-A26D-555F938D6DDA}"/>
    <cellStyle name="Normal 4 2 2 2" xfId="103" xr:uid="{C8B3A160-DD2B-4556-A765-E15BE9943C6C}"/>
    <cellStyle name="Normal 4 2 2 2 2" xfId="397" xr:uid="{BFBF0708-369B-47C3-BD57-BBA22DA5DC88}"/>
    <cellStyle name="Normal 4 2 2 2 2 2" xfId="763" xr:uid="{BAC2A5A5-6D33-4134-8534-A491DCE3A1B4}"/>
    <cellStyle name="Normal 4 2 2 2 3" xfId="583" xr:uid="{6A94DD03-0BA3-47B8-8B97-5A6EC70EDA4D}"/>
    <cellStyle name="Normal 4 2 2 3" xfId="398" xr:uid="{66500C98-3F13-4D5B-AFB3-8CADA5ABBCC4}"/>
    <cellStyle name="Normal 4 2 2 3 2" xfId="764" xr:uid="{60A7116B-B2AE-49D2-B8B9-E78ACDDF0FC3}"/>
    <cellStyle name="Normal 4 2 2 4" xfId="582" xr:uid="{D7346EBC-9C5F-4FF5-AE22-19027F533496}"/>
    <cellStyle name="Normal 4 2 3" xfId="104" xr:uid="{A5CF74F8-35B3-4130-8DD2-0390AB51FEB6}"/>
    <cellStyle name="Normal 4 2 3 2" xfId="399" xr:uid="{D923B3DF-9D55-411F-8557-47BA6A716833}"/>
    <cellStyle name="Normal 4 2 3 2 2" xfId="765" xr:uid="{5D9190D7-D5E9-40D4-AE8C-E4A7AA947272}"/>
    <cellStyle name="Normal 4 2 3 3" xfId="584" xr:uid="{BCB23B9F-6139-4035-A96C-37F53AA52881}"/>
    <cellStyle name="Normal 4 2 4" xfId="105" xr:uid="{F00CC6EA-E13E-4C23-BD98-51A622A22EDD}"/>
    <cellStyle name="Normal 4 2 4 2" xfId="400" xr:uid="{49E19636-41ED-4F26-9F32-63CF1CDC9DDA}"/>
    <cellStyle name="Normal 4 2 4 2 2" xfId="766" xr:uid="{0D5B0B80-1F99-4C91-9EBB-53AF37F6FFA5}"/>
    <cellStyle name="Normal 4 2 4 3" xfId="585" xr:uid="{D34CBDF6-0038-4487-970F-23C20E0A93A1}"/>
    <cellStyle name="Normal 4 2 5" xfId="106" xr:uid="{BA53FE4D-EE45-4ACC-8588-BAAD9D27B51C}"/>
    <cellStyle name="Normal 4 2 5 2" xfId="401" xr:uid="{54D4F78F-1F23-4AFC-914D-C6994CAFDD22}"/>
    <cellStyle name="Normal 4 2 5 2 2" xfId="767" xr:uid="{B6E9E3B9-B6D6-4D67-91A4-AC2F3EB06BC4}"/>
    <cellStyle name="Normal 4 2 5 3" xfId="586" xr:uid="{3BCB8964-D362-452C-89FB-7C8609344E4D}"/>
    <cellStyle name="Normal 4 2 6" xfId="402" xr:uid="{F2C5003E-5F29-4127-9D6A-BA02E40863EA}"/>
    <cellStyle name="Normal 4 2 6 2" xfId="768" xr:uid="{41792E23-846B-4CFD-AF25-60B9544372C3}"/>
    <cellStyle name="Normal 4 2 7" xfId="403" xr:uid="{528679E5-4D03-4A13-902F-9E5D7F788A43}"/>
    <cellStyle name="Normal 4 2 7 2" xfId="769" xr:uid="{A1A62945-8127-43BB-9279-D0192A069737}"/>
    <cellStyle name="Normal 4 2 8" xfId="581" xr:uid="{AF1A72B2-2293-466D-9533-AB8EC283F2C7}"/>
    <cellStyle name="Normal 4 3" xfId="107" xr:uid="{CAE2A01B-9A36-4303-BFE9-322BCCFF2425}"/>
    <cellStyle name="Normal 4 3 2" xfId="108" xr:uid="{3943CF01-5FA6-48C1-B1FE-91F11A609588}"/>
    <cellStyle name="Normal 4 3 2 2" xfId="404" xr:uid="{9D81F4B8-7F5A-4E29-ACEA-E480892CA9C1}"/>
    <cellStyle name="Normal 4 3 2 2 2" xfId="770" xr:uid="{10861451-EA0D-481D-B502-4986AEBCB3A9}"/>
    <cellStyle name="Normal 4 3 2 3" xfId="588" xr:uid="{7604D531-9E68-4BFF-AB04-448725CA53D1}"/>
    <cellStyle name="Normal 4 3 3" xfId="109" xr:uid="{B1E40A67-138E-4B36-A152-C426535D084F}"/>
    <cellStyle name="Normal 4 3 3 2" xfId="405" xr:uid="{207E7CA0-8B71-4FEC-904E-EC94CC40DA47}"/>
    <cellStyle name="Normal 4 3 3 2 2" xfId="771" xr:uid="{E6AA1512-EE7A-476E-B557-91A796BEEAF2}"/>
    <cellStyle name="Normal 4 3 3 3" xfId="589" xr:uid="{5F36C645-A32E-4CBB-9FD6-002898492149}"/>
    <cellStyle name="Normal 4 3 4" xfId="110" xr:uid="{D4AEDEA9-5DE7-4628-8C5A-D4F481CEB53F}"/>
    <cellStyle name="Normal 4 3 4 2" xfId="406" xr:uid="{3E87CAF7-5BB1-4E41-90C9-3BF35F3571D8}"/>
    <cellStyle name="Normal 4 3 4 2 2" xfId="772" xr:uid="{DD8855CB-C748-4D50-804D-C3B34A5FBD94}"/>
    <cellStyle name="Normal 4 3 4 3" xfId="590" xr:uid="{5DCF8EC4-67F3-4A27-AABA-66470E8A1304}"/>
    <cellStyle name="Normal 4 3 5" xfId="407" xr:uid="{F75B608F-3132-40C3-AB4B-A80335B1F433}"/>
    <cellStyle name="Normal 4 3 5 2" xfId="773" xr:uid="{028FB6BD-0223-41AA-95D3-A285FABBFB54}"/>
    <cellStyle name="Normal 4 3 6" xfId="587" xr:uid="{E203C665-0794-4553-9E8E-05E79D1DC143}"/>
    <cellStyle name="Normal 4 4" xfId="111" xr:uid="{521F4570-B170-4E8E-8CA1-7E013F1C8804}"/>
    <cellStyle name="Normal 4 4 2" xfId="112" xr:uid="{8EB242E7-6705-4D13-9476-386504F015CA}"/>
    <cellStyle name="Normal 4 4 2 2" xfId="408" xr:uid="{72100159-D52D-45C0-9858-DB82E0654272}"/>
    <cellStyle name="Normal 4 4 2 2 2" xfId="774" xr:uid="{E59997C2-C2DA-414E-8E66-046AC327BF4D}"/>
    <cellStyle name="Normal 4 4 2 3" xfId="592" xr:uid="{DCA02F82-B4DB-4828-88FD-28A90EFA12AE}"/>
    <cellStyle name="Normal 4 4 3" xfId="409" xr:uid="{9C86FB2D-9FDB-4E19-A3DC-B5E93352228E}"/>
    <cellStyle name="Normal 4 4 3 2" xfId="775" xr:uid="{F6246F75-0AB6-45ED-B2E8-2DBE6A32514A}"/>
    <cellStyle name="Normal 4 4 4" xfId="591" xr:uid="{75C15394-A6C9-4B94-BA58-A455B254F836}"/>
    <cellStyle name="Normal 4 5" xfId="113" xr:uid="{996D87D5-07FE-4B25-9755-AC60B3CC754E}"/>
    <cellStyle name="Normal 4 5 2" xfId="114" xr:uid="{32135221-E377-4985-8411-1263F68CE179}"/>
    <cellStyle name="Normal 4 5 2 2" xfId="410" xr:uid="{4818D839-FE37-4DC7-861F-14D32FDE9339}"/>
    <cellStyle name="Normal 4 5 2 2 2" xfId="776" xr:uid="{379F9B0C-2677-46A7-8356-5CFE96D48A64}"/>
    <cellStyle name="Normal 4 5 2 3" xfId="594" xr:uid="{30D8D9F0-E7FE-4802-A307-72B0623BA824}"/>
    <cellStyle name="Normal 4 5 3" xfId="411" xr:uid="{7D4C644F-D5EC-41DC-8BB4-8F5B97E7A92F}"/>
    <cellStyle name="Normal 4 5 3 2" xfId="777" xr:uid="{12E295C8-5384-4D2A-9C53-D8E0350429D9}"/>
    <cellStyle name="Normal 4 5 4" xfId="593" xr:uid="{14DA7559-5C2C-4DEA-B826-36B9F512D7CC}"/>
    <cellStyle name="Normal 4 6" xfId="115" xr:uid="{41D8BBD2-FCAE-4034-B2F3-F85002543162}"/>
    <cellStyle name="Normal 4 6 2" xfId="116" xr:uid="{5C2715A0-EC17-4EE5-8320-552C30463A4C}"/>
    <cellStyle name="Normal 4 6 2 2" xfId="412" xr:uid="{4A46C2CF-E5F4-4C05-9269-6DAA8BAFA31E}"/>
    <cellStyle name="Normal 4 6 2 2 2" xfId="778" xr:uid="{6CF81B58-336A-47D8-9E3D-65E35DA30BC5}"/>
    <cellStyle name="Normal 4 6 2 3" xfId="596" xr:uid="{82FC4191-287D-47C4-93CA-2950339C5058}"/>
    <cellStyle name="Normal 4 6 3" xfId="413" xr:uid="{0EA069D2-15B6-4476-8EEB-7F8C3BC83ABD}"/>
    <cellStyle name="Normal 4 6 3 2" xfId="779" xr:uid="{A5F0B040-4CD5-4F47-8A58-237D82F0E4F5}"/>
    <cellStyle name="Normal 4 6 4" xfId="595" xr:uid="{DDE057FB-C00B-44A1-A2C8-6771F729C1DE}"/>
    <cellStyle name="Normal 4 7" xfId="117" xr:uid="{17E71501-3432-480B-883B-BC53398A82F7}"/>
    <cellStyle name="Normal 4 7 2" xfId="414" xr:uid="{AB44D96C-C19B-4F20-B331-0A27A8C60CAC}"/>
    <cellStyle name="Normal 4 7 2 2" xfId="780" xr:uid="{C3790904-790D-449E-B1AF-CD2A152C8812}"/>
    <cellStyle name="Normal 4 7 3" xfId="597" xr:uid="{285529BB-F2E0-4A47-8208-9083E1A80D9C}"/>
    <cellStyle name="Normal 4 8" xfId="118" xr:uid="{0D391571-BB34-4D16-B8CB-7EF7FE9C84DF}"/>
    <cellStyle name="Normal 4 8 2" xfId="415" xr:uid="{D7880091-27B1-4DF1-97FC-FF61B9860581}"/>
    <cellStyle name="Normal 4 8 2 2" xfId="781" xr:uid="{3316992C-03E6-4B6B-B625-79DE80C3B957}"/>
    <cellStyle name="Normal 4 8 3" xfId="598" xr:uid="{FF0AD2B6-F3CB-48F8-A557-F0C65189D501}"/>
    <cellStyle name="Normal 4 9" xfId="119" xr:uid="{394CFC7B-3C64-45B0-A550-475A115BD295}"/>
    <cellStyle name="Normal 4 9 2" xfId="416" xr:uid="{62D06EB8-0D38-4BF3-BD17-25A1EF14CCD6}"/>
    <cellStyle name="Normal 4 9 2 2" xfId="782" xr:uid="{7ACF2BBA-9780-4778-8FA6-3B6D4C42C924}"/>
    <cellStyle name="Normal 4 9 3" xfId="599" xr:uid="{C2A009B6-7FBE-4538-A06A-51C8D1B6F9B2}"/>
    <cellStyle name="Normal 5" xfId="4" xr:uid="{00000000-0005-0000-0000-000006000000}"/>
    <cellStyle name="Normal 5 10" xfId="17" xr:uid="{FA38114E-37E8-42E2-8C73-14362A067866}"/>
    <cellStyle name="Normal 5 10 2" xfId="529" xr:uid="{F2BB87AE-88CE-4A7E-BC50-9251CB305780}"/>
    <cellStyle name="Normal 5 11" xfId="303" xr:uid="{26096683-60A7-4624-8106-35A773895610}"/>
    <cellStyle name="Normal 5 12" xfId="304" xr:uid="{6A1F4B8C-41A0-4C7C-A27E-5C13B8A7AC2E}"/>
    <cellStyle name="Normal 5 13" xfId="305" xr:uid="{8DED6D01-50DC-4C36-A1C1-0E1E1A44248A}"/>
    <cellStyle name="Normal 5 13 2" xfId="711" xr:uid="{AAFB6E19-A605-450F-8D2C-23EE643BA965}"/>
    <cellStyle name="Normal 5 14" xfId="44" xr:uid="{DE4318BD-E8D3-4D19-B6E2-29E4A3003DB7}"/>
    <cellStyle name="Normal 5 15" xfId="9" xr:uid="{9C099D0D-8BD3-405E-A27E-08B0883CF7B7}"/>
    <cellStyle name="Normal 5 2" xfId="27" xr:uid="{9012A612-BA39-4287-98C2-D264705A0A61}"/>
    <cellStyle name="Normal 5 2 2" xfId="120" xr:uid="{405CCBAB-4455-4334-AF61-9A6F3FC27048}"/>
    <cellStyle name="Normal 5 2 2 2" xfId="121" xr:uid="{601EED0E-7E9A-4FD4-918F-B7745C34C445}"/>
    <cellStyle name="Normal 5 2 2 2 2" xfId="417" xr:uid="{66BAACCC-0916-44B8-AE5C-1B0C39FA1F46}"/>
    <cellStyle name="Normal 5 2 2 2 2 2" xfId="783" xr:uid="{27EC7A62-705C-4772-91C5-8F5D38325ADB}"/>
    <cellStyle name="Normal 5 2 2 2 3" xfId="602" xr:uid="{3E7120C8-93BF-44D5-A282-6672F3D6D2AE}"/>
    <cellStyle name="Normal 5 2 2 3" xfId="418" xr:uid="{C83DBF5D-582E-4E28-AE66-4DF0A59E8CD9}"/>
    <cellStyle name="Normal 5 2 2 3 2" xfId="784" xr:uid="{79450134-43AE-412F-99C5-CEAE309A51EB}"/>
    <cellStyle name="Normal 5 2 2 4" xfId="601" xr:uid="{F86E2D52-6851-487B-8C58-108D24793ADE}"/>
    <cellStyle name="Normal 5 2 3" xfId="122" xr:uid="{DA631179-B5CB-42F5-AF5F-83E0839FB894}"/>
    <cellStyle name="Normal 5 2 3 2" xfId="419" xr:uid="{E469ECF8-B8E1-49FE-A92B-108B118B0BDC}"/>
    <cellStyle name="Normal 5 2 3 2 2" xfId="785" xr:uid="{CB0BA46A-94B9-44CA-BD80-35FC4C772436}"/>
    <cellStyle name="Normal 5 2 3 3" xfId="603" xr:uid="{E0BBEBF5-0417-433D-9FE3-DB3388E9C630}"/>
    <cellStyle name="Normal 5 2 4" xfId="123" xr:uid="{1B837F80-E36C-419E-85F3-DDE1D82EECEF}"/>
    <cellStyle name="Normal 5 2 4 2" xfId="420" xr:uid="{94554014-BED3-4D1F-8F97-0DAEE3E80115}"/>
    <cellStyle name="Normal 5 2 4 2 2" xfId="786" xr:uid="{322FDD8A-681C-4696-9AE6-DCA47C2927BE}"/>
    <cellStyle name="Normal 5 2 4 3" xfId="604" xr:uid="{BB509E06-B372-4AD2-88D8-2ED6479F8F6C}"/>
    <cellStyle name="Normal 5 2 5" xfId="421" xr:uid="{1DD01480-1CBF-4B9F-B335-2B6C829E47AB}"/>
    <cellStyle name="Normal 5 2 5 2" xfId="787" xr:uid="{BFA440B9-9D84-4B69-9135-72C267450397}"/>
    <cellStyle name="Normal 5 2 6" xfId="422" xr:uid="{368D0C8C-EDED-4C33-94DC-FBD82970233D}"/>
    <cellStyle name="Normal 5 2 6 2" xfId="788" xr:uid="{4884B224-6757-4ABF-A711-CD315A6DA4D9}"/>
    <cellStyle name="Normal 5 2 7" xfId="600" xr:uid="{4C6B86F2-A916-498A-AFED-87818EAA9647}"/>
    <cellStyle name="Normal 5 3" xfId="22" xr:uid="{7150649C-89A7-4FAE-8070-D1DF16347A41}"/>
    <cellStyle name="Normal 5 3 2" xfId="124" xr:uid="{154C1BA6-4555-4A46-A5F7-F61D2A3A0EF1}"/>
    <cellStyle name="Normal 5 3 2 2" xfId="423" xr:uid="{034D48EA-8B32-4755-9AFE-C3242602E6BC}"/>
    <cellStyle name="Normal 5 3 2 2 2" xfId="789" xr:uid="{A3375F23-5914-4682-9D06-D303C451271B}"/>
    <cellStyle name="Normal 5 3 2 3" xfId="606" xr:uid="{D2A4FE64-676B-428B-AED0-1187C5FE7263}"/>
    <cellStyle name="Normal 5 3 3" xfId="125" xr:uid="{0FBF5455-4337-4199-9CF5-4F1D8B498900}"/>
    <cellStyle name="Normal 5 3 3 2" xfId="424" xr:uid="{ADCA4D33-FCF7-49E3-928D-9E1DFCD5B77E}"/>
    <cellStyle name="Normal 5 3 3 2 2" xfId="790" xr:uid="{7B5B1EC0-33E6-42BB-A13B-3781BBA2DAC7}"/>
    <cellStyle name="Normal 5 3 3 3" xfId="607" xr:uid="{FBDDF5A1-84E1-47C0-BA57-5550F76268E7}"/>
    <cellStyle name="Normal 5 3 4" xfId="425" xr:uid="{08FDC270-884D-40F0-83B2-763DDB39B351}"/>
    <cellStyle name="Normal 5 3 4 2" xfId="791" xr:uid="{E0FB095E-03ED-4B5F-998F-7B1E71601550}"/>
    <cellStyle name="Normal 5 3 5" xfId="605" xr:uid="{03E45BD5-CBD3-472B-8E3D-2FE63FF6E3EF}"/>
    <cellStyle name="Normal 5 4" xfId="126" xr:uid="{B12B5E5B-4AF1-4854-AA51-D4A9B9CE8044}"/>
    <cellStyle name="Normal 5 4 2" xfId="127" xr:uid="{F4763EF5-2DD2-4CC7-9123-1CE837F3114B}"/>
    <cellStyle name="Normal 5 4 2 2" xfId="426" xr:uid="{3DD463D0-BBE3-42E6-99E6-5B8285A4A3FC}"/>
    <cellStyle name="Normal 5 4 2 2 2" xfId="792" xr:uid="{C3303AA4-7E50-4AF8-A3E1-F4E9BBE9A674}"/>
    <cellStyle name="Normal 5 4 2 3" xfId="609" xr:uid="{8A9E63F5-698C-4BDB-AF96-4C3AB4DCADDB}"/>
    <cellStyle name="Normal 5 4 3" xfId="427" xr:uid="{9C94C170-4214-43B4-B6DD-9D155291F95B}"/>
    <cellStyle name="Normal 5 4 3 2" xfId="793" xr:uid="{DA3CB29F-044D-4F96-AF1C-AAA6F86A3F99}"/>
    <cellStyle name="Normal 5 4 4" xfId="608" xr:uid="{CA364BDB-2A3E-4878-9489-0C02974F8448}"/>
    <cellStyle name="Normal 5 5" xfId="128" xr:uid="{4190DDD9-82E6-4029-9F99-882A6106AB6E}"/>
    <cellStyle name="Normal 5 5 2" xfId="129" xr:uid="{47F17379-FE86-4D82-B2DC-A68892B2AE61}"/>
    <cellStyle name="Normal 5 5 2 2" xfId="428" xr:uid="{1C1A7A7C-7B28-4D36-A72F-71B4D6EF4AED}"/>
    <cellStyle name="Normal 5 5 2 2 2" xfId="794" xr:uid="{E777685F-E77A-4858-BFE3-F37D5532DC67}"/>
    <cellStyle name="Normal 5 5 2 3" xfId="611" xr:uid="{F8C7ED0E-C964-40A6-9485-E2AF71A8C0F3}"/>
    <cellStyle name="Normal 5 5 3" xfId="429" xr:uid="{AD0282CC-CCBD-4373-962E-71C46A3BD4F0}"/>
    <cellStyle name="Normal 5 5 3 2" xfId="795" xr:uid="{7F165208-CC1E-4037-B4C8-4115934B04C5}"/>
    <cellStyle name="Normal 5 5 4" xfId="610" xr:uid="{3B964F64-2E99-4E09-AAC9-54F1262813CF}"/>
    <cellStyle name="Normal 5 6" xfId="130" xr:uid="{E266F91A-AE7A-4052-A023-06BDEE296F1C}"/>
    <cellStyle name="Normal 5 6 2" xfId="131" xr:uid="{50D8D19B-B172-4A82-8C54-BF35D94B9D21}"/>
    <cellStyle name="Normal 5 6 2 2" xfId="430" xr:uid="{2BB904C5-4563-49E9-B9AE-A64ACBDAFA32}"/>
    <cellStyle name="Normal 5 6 2 2 2" xfId="796" xr:uid="{D656D1D0-2E3D-4493-B5B9-97CC030DBCC2}"/>
    <cellStyle name="Normal 5 6 2 3" xfId="613" xr:uid="{3AFB938E-D66A-438F-8415-0E687110FB82}"/>
    <cellStyle name="Normal 5 6 3" xfId="431" xr:uid="{298ECD8A-7CFF-40E6-A611-A51072284AF6}"/>
    <cellStyle name="Normal 5 6 3 2" xfId="797" xr:uid="{885F4F67-8377-4C7A-A3BD-6A1E8B8C17D8}"/>
    <cellStyle name="Normal 5 6 4" xfId="612" xr:uid="{1FDB4055-6888-4012-9B8B-431BA4F95289}"/>
    <cellStyle name="Normal 5 7" xfId="132" xr:uid="{D439D539-9087-48F0-A11B-2527A0FA266E}"/>
    <cellStyle name="Normal 5 7 2" xfId="432" xr:uid="{EBE77313-571C-46B1-93B3-333FD9D8DD68}"/>
    <cellStyle name="Normal 5 7 2 2" xfId="798" xr:uid="{9D28A88C-2533-4453-A342-E08062C65E18}"/>
    <cellStyle name="Normal 5 7 3" xfId="614" xr:uid="{65E71E13-9535-4F1E-BF08-7CC024E88279}"/>
    <cellStyle name="Normal 5 8" xfId="133" xr:uid="{AB161FD9-204E-4A7F-ADB1-6E94C2EB2B80}"/>
    <cellStyle name="Normal 5 8 2" xfId="433" xr:uid="{9829A240-AC71-46D1-9A31-24D76E727133}"/>
    <cellStyle name="Normal 5 8 2 2" xfId="799" xr:uid="{A520508A-A42A-4069-A7D0-6AA92A2A6FDF}"/>
    <cellStyle name="Normal 5 8 3" xfId="615" xr:uid="{9CBAC006-EFC6-475D-B3A7-172F764B43CE}"/>
    <cellStyle name="Normal 5 9" xfId="134" xr:uid="{2C2A52A1-0BCB-42E5-BC34-A0D5CD9434FC}"/>
    <cellStyle name="Normal 5 9 2" xfId="434" xr:uid="{A4BA666E-70C8-4AE5-AEA1-D757DC997534}"/>
    <cellStyle name="Normal 5 9 2 2" xfId="800" xr:uid="{83ACF45A-4C1B-49B5-B0D3-8E07F9113D6A}"/>
    <cellStyle name="Normal 5 9 3" xfId="616" xr:uid="{DEA6012C-9F6D-4C2F-849C-4714193745BC}"/>
    <cellStyle name="Normal 6" xfId="53" xr:uid="{A8E66FE2-4BEF-413C-89E0-5E2A773010F7}"/>
    <cellStyle name="Normal 6 2" xfId="306" xr:uid="{57CE78EE-7204-4BA1-8B1E-45FF16FE05B9}"/>
    <cellStyle name="Normal 7" xfId="135" xr:uid="{CE42FBA2-B8D7-4352-8CD1-F93356138B1B}"/>
    <cellStyle name="Normal 7 10" xfId="435" xr:uid="{07EEE07E-CF39-4043-ACA1-A1D90E12FE98}"/>
    <cellStyle name="Normal 7 10 2" xfId="801" xr:uid="{0F37BE72-1D84-496C-AA63-FAEFD365CD2F}"/>
    <cellStyle name="Normal 7 11" xfId="617" xr:uid="{5F09C1C2-462D-4CF8-8A5F-9D1AC7EFDA93}"/>
    <cellStyle name="Normal 7 2" xfId="136" xr:uid="{9B891F98-F3CE-4F34-B522-E2E9BF7E70AC}"/>
    <cellStyle name="Normal 7 2 2" xfId="137" xr:uid="{B620FCA3-F4F1-4A79-B947-FE0415D08B11}"/>
    <cellStyle name="Normal 7 2 2 2" xfId="436" xr:uid="{0860B44C-23DF-49BF-932B-B92AFFC935FD}"/>
    <cellStyle name="Normal 7 2 2 2 2" xfId="802" xr:uid="{676F93BC-F385-4ADC-A81E-F2DEF68C1BE7}"/>
    <cellStyle name="Normal 7 2 2 3" xfId="619" xr:uid="{564E5BA0-B769-41E1-B00F-BEF8E7D289DE}"/>
    <cellStyle name="Normal 7 2 3" xfId="138" xr:uid="{21E5C4B8-B5E8-45CA-AEFB-B8E681652B23}"/>
    <cellStyle name="Normal 7 2 3 2" xfId="437" xr:uid="{EB2BEC78-0B80-4B49-9FDA-B615DAEDB47C}"/>
    <cellStyle name="Normal 7 2 3 2 2" xfId="803" xr:uid="{38797542-2E26-4AAA-8146-9E336EF32FB1}"/>
    <cellStyle name="Normal 7 2 3 3" xfId="620" xr:uid="{69060ECF-D846-46FA-B9BB-28EB8B4F343E}"/>
    <cellStyle name="Normal 7 2 4" xfId="438" xr:uid="{52B9C560-BC56-4073-B6CC-5EA9F23F87F5}"/>
    <cellStyle name="Normal 7 2 4 2" xfId="804" xr:uid="{0BDC67DB-A92D-4A0B-8953-04B38AE4091D}"/>
    <cellStyle name="Normal 7 2 5" xfId="618" xr:uid="{F8F45902-F8AC-418A-AF44-BE18BD28F75B}"/>
    <cellStyle name="Normal 7 3" xfId="139" xr:uid="{58485611-EC8E-4AC7-8C0D-B508EFC0695F}"/>
    <cellStyle name="Normal 7 3 2" xfId="140" xr:uid="{8C4DE721-4A8B-499B-B273-D8CAD069EB34}"/>
    <cellStyle name="Normal 7 3 2 2" xfId="439" xr:uid="{8AAEA684-4C67-4461-966D-EFA23C8AA3BF}"/>
    <cellStyle name="Normal 7 3 2 2 2" xfId="805" xr:uid="{966BE806-D0D1-49EE-8C9C-9E2C3D584EE7}"/>
    <cellStyle name="Normal 7 3 2 3" xfId="622" xr:uid="{34D9C522-CBC5-44A4-A928-5564493D9DF1}"/>
    <cellStyle name="Normal 7 3 3" xfId="440" xr:uid="{4723FCAF-6ABF-4B04-9EAE-CAE6DDBF3947}"/>
    <cellStyle name="Normal 7 3 3 2" xfId="806" xr:uid="{16A7C0BA-0721-41A0-8A6E-B87DB90F3758}"/>
    <cellStyle name="Normal 7 3 4" xfId="621" xr:uid="{B5A85BE8-23BD-4034-9898-3E27DCE46A3D}"/>
    <cellStyle name="Normal 7 4" xfId="141" xr:uid="{5441DB7B-9235-4110-A822-BDC98CD5BF15}"/>
    <cellStyle name="Normal 7 4 2" xfId="142" xr:uid="{86B82F4E-D7E3-439B-9EDF-924EF053B081}"/>
    <cellStyle name="Normal 7 4 2 2" xfId="441" xr:uid="{CBB0F386-A06D-4C86-AF26-D92BA04DAB53}"/>
    <cellStyle name="Normal 7 4 2 2 2" xfId="807" xr:uid="{68C0065A-DE93-4E54-8F74-EA6CD6432009}"/>
    <cellStyle name="Normal 7 4 2 3" xfId="624" xr:uid="{CA5E0070-A7F7-4712-A044-F36629DB01CB}"/>
    <cellStyle name="Normal 7 4 3" xfId="442" xr:uid="{86E45081-1DF0-488A-A93C-E333DC4E6051}"/>
    <cellStyle name="Normal 7 4 3 2" xfId="808" xr:uid="{1C718B12-199D-4B03-B152-4B77BDF86CD3}"/>
    <cellStyle name="Normal 7 4 4" xfId="623" xr:uid="{8F9E4011-A79C-4E45-8049-FA2D7D466D44}"/>
    <cellStyle name="Normal 7 5" xfId="143" xr:uid="{5E4DBF9C-E752-49DB-A41E-5E46128A1CF7}"/>
    <cellStyle name="Normal 7 5 2" xfId="144" xr:uid="{7617AB17-C027-4852-81BE-26D5F8CFC633}"/>
    <cellStyle name="Normal 7 5 2 2" xfId="443" xr:uid="{BDC29C62-56F5-4991-B5D4-C53B6052F1CE}"/>
    <cellStyle name="Normal 7 5 2 2 2" xfId="809" xr:uid="{66F21D6D-DAFE-4C5A-BC28-93992A3EBB35}"/>
    <cellStyle name="Normal 7 5 2 3" xfId="626" xr:uid="{3C156409-CFF1-4CA6-A39E-9EBF92F76647}"/>
    <cellStyle name="Normal 7 5 3" xfId="444" xr:uid="{5ACCA737-B4ED-4CEA-AB47-0A575DBC2E98}"/>
    <cellStyle name="Normal 7 5 3 2" xfId="810" xr:uid="{4AA1F81C-EA8B-4A77-8463-5BA45DB64732}"/>
    <cellStyle name="Normal 7 5 4" xfId="625" xr:uid="{1AFECA1F-56A6-41A8-BF5B-BF81FB6F37E8}"/>
    <cellStyle name="Normal 7 6" xfId="145" xr:uid="{B3CBA82F-344A-41B7-88E4-3D8ED56047E5}"/>
    <cellStyle name="Normal 7 6 2" xfId="445" xr:uid="{810697B2-06ED-456D-94C8-2E8240ADDDAA}"/>
    <cellStyle name="Normal 7 6 2 2" xfId="811" xr:uid="{01E0183E-3E1F-40BD-9EB5-25F7A0E39D91}"/>
    <cellStyle name="Normal 7 6 3" xfId="627" xr:uid="{2DB8AF68-16FB-4DE1-A96D-31FF65593998}"/>
    <cellStyle name="Normal 7 7" xfId="146" xr:uid="{E57CA64F-8175-45AA-B7A3-4DC3591295A5}"/>
    <cellStyle name="Normal 7 7 2" xfId="446" xr:uid="{C2679F46-4C8F-4F67-B3D5-A22B13AFDACA}"/>
    <cellStyle name="Normal 7 7 2 2" xfId="812" xr:uid="{ED3ACCCB-6B5B-4B24-B632-D743CE2A0D53}"/>
    <cellStyle name="Normal 7 7 3" xfId="628" xr:uid="{B6646660-5433-45C9-8C57-045389D400B0}"/>
    <cellStyle name="Normal 7 8" xfId="147" xr:uid="{ED5B22F8-6100-48F2-8E92-AD15CFEA2253}"/>
    <cellStyle name="Normal 7 8 2" xfId="447" xr:uid="{AC586867-3596-44BE-8C72-54926D4CE125}"/>
    <cellStyle name="Normal 7 8 2 2" xfId="813" xr:uid="{A143CFC4-30FF-4B33-A029-CC2C15FA39E9}"/>
    <cellStyle name="Normal 7 8 3" xfId="629" xr:uid="{5AD098DB-BBFC-4FCE-BF8B-C9AEAA7265D3}"/>
    <cellStyle name="Normal 7 9" xfId="448" xr:uid="{38551C76-059E-465B-B553-7EBEB7AE2A85}"/>
    <cellStyle name="Normal 7 9 2" xfId="814" xr:uid="{EA77D34C-0DAD-46B2-93DB-14728F6F81F0}"/>
    <cellStyle name="Normal 8" xfId="50" xr:uid="{3F29BB9A-B00F-48E7-ABAF-EA9844303931}"/>
    <cellStyle name="Normal 8 2" xfId="148" xr:uid="{FEF5A6AA-5E04-4896-B736-4BE889B48E9C}"/>
    <cellStyle name="Normal 8 2 2" xfId="149" xr:uid="{011C75C8-CA42-49E0-924B-933A2AAAB6E3}"/>
    <cellStyle name="Normal 8 2 2 2" xfId="449" xr:uid="{37A9B585-142E-40F5-AB25-43E3FB691F96}"/>
    <cellStyle name="Normal 8 2 2 2 2" xfId="815" xr:uid="{2FD12D46-0190-41FC-8AA9-3EC9DBA9D238}"/>
    <cellStyle name="Normal 8 2 2 3" xfId="631" xr:uid="{9026A97F-47F9-494A-80E1-6B60F7564C3E}"/>
    <cellStyle name="Normal 8 2 3" xfId="450" xr:uid="{9B025DD5-7F72-45B8-AA90-9DADFDC9549B}"/>
    <cellStyle name="Normal 8 2 3 2" xfId="816" xr:uid="{7D8BEBC3-E6AE-4374-89DC-00BF86694B45}"/>
    <cellStyle name="Normal 8 2 4" xfId="630" xr:uid="{CF5BAFC2-8BFC-428A-8C4E-35B3F4047E8F}"/>
    <cellStyle name="Normal 8 3" xfId="150" xr:uid="{5ADDB761-66BD-4607-82F0-20AF7009EC98}"/>
    <cellStyle name="Normal 8 3 2" xfId="151" xr:uid="{D78F3778-45A7-47B2-832B-BCB2CC960EF2}"/>
    <cellStyle name="Normal 8 3 2 2" xfId="451" xr:uid="{776ACED5-6AEC-4A68-B0ED-BEAC694027BC}"/>
    <cellStyle name="Normal 8 3 2 2 2" xfId="817" xr:uid="{6532AF87-FB03-43D3-A263-C2670425931A}"/>
    <cellStyle name="Normal 8 3 2 3" xfId="633" xr:uid="{E80E6990-1F89-4AF6-83C3-7770200C47E0}"/>
    <cellStyle name="Normal 8 3 3" xfId="452" xr:uid="{750A9C98-AC38-4620-AFAA-CEF939F5217E}"/>
    <cellStyle name="Normal 8 3 3 2" xfId="818" xr:uid="{0EE4C2D3-88A1-4008-BEA9-1969650FB8F8}"/>
    <cellStyle name="Normal 8 3 4" xfId="632" xr:uid="{B7D74FAA-3606-482E-8724-34671D8480CB}"/>
    <cellStyle name="Normal 8 4" xfId="152" xr:uid="{CF2FA297-0B51-4A83-96E4-BF5FE71BE08E}"/>
    <cellStyle name="Normal 8 4 2" xfId="153" xr:uid="{811748F6-AF98-450E-BA33-7A2685929D09}"/>
    <cellStyle name="Normal 8 4 2 2" xfId="453" xr:uid="{65971A4B-0B92-498B-801E-05E89A33DB78}"/>
    <cellStyle name="Normal 8 4 2 2 2" xfId="819" xr:uid="{CF8BA9D0-C76C-48FA-BDA3-0EA544B1C525}"/>
    <cellStyle name="Normal 8 4 2 3" xfId="635" xr:uid="{945A04A8-B5C3-4DDD-AAE4-B3A4950052D1}"/>
    <cellStyle name="Normal 8 4 3" xfId="454" xr:uid="{E1CA2873-D70B-4C57-A8F0-4C7558FD1CB5}"/>
    <cellStyle name="Normal 8 4 3 2" xfId="820" xr:uid="{3AF119A0-C861-45BA-8E2D-B553D63AD135}"/>
    <cellStyle name="Normal 8 4 4" xfId="634" xr:uid="{7F041120-1815-448C-8872-6E32A6A26BFC}"/>
    <cellStyle name="Normal 8 5" xfId="154" xr:uid="{6F80E614-139D-442B-BA6D-4096A15004A7}"/>
    <cellStyle name="Normal 8 5 2" xfId="455" xr:uid="{1BB02FF8-4215-4BFB-A0C1-5D26AC4CB8BA}"/>
    <cellStyle name="Normal 8 5 2 2" xfId="821" xr:uid="{ECDDB6DC-40E1-4182-89F7-2A68C8A6D6DF}"/>
    <cellStyle name="Normal 8 5 3" xfId="636" xr:uid="{C6563D34-2FC2-4DF0-A84C-C33B23E4F317}"/>
    <cellStyle name="Normal 8 6" xfId="456" xr:uid="{ADFB59F0-4050-418B-B079-780A5ED08B01}"/>
    <cellStyle name="Normal 9" xfId="155" xr:uid="{24268EF8-E613-49C4-B37B-BA91190CB62B}"/>
    <cellStyle name="Note 2" xfId="307" xr:uid="{25F91C61-39F6-43CC-BF4C-ED27535D824D}"/>
    <cellStyle name="Note 2 2" xfId="712" xr:uid="{23940AA2-E1E7-4BA3-952F-2F85ABF2581B}"/>
    <cellStyle name="Note 3" xfId="308" xr:uid="{D46204D6-77E4-433E-8377-85E68E55CAC3}"/>
    <cellStyle name="Note 3 2" xfId="713" xr:uid="{9E922156-0020-4848-8615-E82B190A9E3A}"/>
    <cellStyle name="Note 4" xfId="309" xr:uid="{F5999E90-58B8-4840-B46F-193E2E7C2482}"/>
    <cellStyle name="Note 4 2" xfId="714" xr:uid="{EE044180-DA3D-4D94-A7E2-B52D9D668B4D}"/>
    <cellStyle name="Note 5" xfId="310" xr:uid="{6D06D402-C8FB-4B97-A4A3-452959DDAF13}"/>
    <cellStyle name="Output 2" xfId="311" xr:uid="{AA64A0BA-0178-4A20-A57C-EC3A3D89ED04}"/>
    <cellStyle name="Percent 2" xfId="11" xr:uid="{592A2574-653A-4D97-9D82-B0C341663066}"/>
    <cellStyle name="Percent 2 10" xfId="457" xr:uid="{DDDEAA5D-BCA5-4C75-8868-48BDF309F6DB}"/>
    <cellStyle name="Percent 2 11" xfId="458" xr:uid="{CF63269E-73C7-455E-9EE2-33B349150CD1}"/>
    <cellStyle name="Percent 2 11 2" xfId="822" xr:uid="{7612592A-DC06-48C8-9960-9B0884521F89}"/>
    <cellStyle name="Percent 2 12" xfId="533" xr:uid="{87F53946-5F71-4C31-9C5C-9AD3CD3445A2}"/>
    <cellStyle name="Percent 2 13" xfId="45" xr:uid="{F1D03210-6D2C-4DA2-89C6-79D1101EAEB5}"/>
    <cellStyle name="Percent 2 2" xfId="156" xr:uid="{894306E4-56DC-4BF0-BE38-6199040F2A9D}"/>
    <cellStyle name="Percent 2 2 10" xfId="312" xr:uid="{9FB8058F-3F75-456F-95A3-2428202031D2}"/>
    <cellStyle name="Percent 2 2 11" xfId="313" xr:uid="{E62DABD7-6561-490D-B522-60D91AB70CCB}"/>
    <cellStyle name="Percent 2 2 12" xfId="314" xr:uid="{D6790111-1990-45B8-8126-036D72BCDCEC}"/>
    <cellStyle name="Percent 2 2 13" xfId="637" xr:uid="{D03F08EE-24F7-4E43-85C2-CD50847FC833}"/>
    <cellStyle name="Percent 2 2 2" xfId="157" xr:uid="{BCC773C3-86FE-42FB-AC06-1B1176719C82}"/>
    <cellStyle name="Percent 2 2 2 2" xfId="158" xr:uid="{1E4F6469-1DF3-4E6D-BA07-01FC2E45CC11}"/>
    <cellStyle name="Percent 2 2 2 2 2" xfId="459" xr:uid="{3D5F5EEE-7546-46F3-A2FD-451A56A574D4}"/>
    <cellStyle name="Percent 2 2 2 2 2 2" xfId="823" xr:uid="{420AC81E-9CB9-4B52-AD83-FA332332B7B4}"/>
    <cellStyle name="Percent 2 2 2 2 3" xfId="639" xr:uid="{4CDA12E3-02D2-4534-A5C0-0587B6B88FFC}"/>
    <cellStyle name="Percent 2 2 2 3" xfId="460" xr:uid="{CA6C661A-CDD0-4EAC-90F8-7588E84432C0}"/>
    <cellStyle name="Percent 2 2 2 3 2" xfId="824" xr:uid="{029E3563-DBEA-413B-AB2B-D9FA65257846}"/>
    <cellStyle name="Percent 2 2 2 4" xfId="638" xr:uid="{2928F21F-2C35-4CF0-948A-628C0713F531}"/>
    <cellStyle name="Percent 2 2 3" xfId="159" xr:uid="{45EAF60B-2673-4103-AD34-22103C1DA46C}"/>
    <cellStyle name="Percent 2 2 3 2" xfId="461" xr:uid="{152E584E-5BB3-4D40-BA3E-C5F4E44DCE3D}"/>
    <cellStyle name="Percent 2 2 3 2 2" xfId="825" xr:uid="{F350BAAC-1220-43CD-AAD3-16183C5E960D}"/>
    <cellStyle name="Percent 2 2 3 3" xfId="640" xr:uid="{8C550CF6-7F14-47D6-9F5C-6F4EC0B84940}"/>
    <cellStyle name="Percent 2 2 4" xfId="160" xr:uid="{4752BCD4-6FD3-43FC-A752-DDDF273CD886}"/>
    <cellStyle name="Percent 2 2 4 2" xfId="462" xr:uid="{98BFDA5B-BBDB-4BC4-B815-12069FA70143}"/>
    <cellStyle name="Percent 2 2 4 2 2" xfId="826" xr:uid="{A6EC9A24-F49C-49FF-8977-1917996B85AF}"/>
    <cellStyle name="Percent 2 2 4 3" xfId="641" xr:uid="{97F51953-33AF-4BC5-9C21-4AE6E3794BB5}"/>
    <cellStyle name="Percent 2 2 5" xfId="315" xr:uid="{EED2EC98-3A8F-48B8-A3A7-B5AE7557DA08}"/>
    <cellStyle name="Percent 2 2 6" xfId="316" xr:uid="{E4004E56-311D-4EF0-AAB4-87D4E5C46B30}"/>
    <cellStyle name="Percent 2 2 7" xfId="317" xr:uid="{4192B7EF-69A9-44D8-B031-FCE5A7710C90}"/>
    <cellStyle name="Percent 2 2 8" xfId="318" xr:uid="{3E105F7E-08C1-4E6A-87CF-6CB50FC0F24F}"/>
    <cellStyle name="Percent 2 2 9" xfId="319" xr:uid="{343D2D00-4407-49E8-9685-FB00C36226E0}"/>
    <cellStyle name="Percent 2 3" xfId="161" xr:uid="{4D343BD3-925B-4A73-AE5F-1FD418370CA0}"/>
    <cellStyle name="Percent 2 3 10" xfId="320" xr:uid="{AD2F6BD0-7CBA-4D6A-BA8E-F9CD79A3A9CC}"/>
    <cellStyle name="Percent 2 3 11" xfId="321" xr:uid="{6AF32807-766A-486E-AE2C-36378F68102B}"/>
    <cellStyle name="Percent 2 3 12" xfId="322" xr:uid="{28B3BA4E-7D5E-4B54-8D0F-1F0CF734711B}"/>
    <cellStyle name="Percent 2 3 13" xfId="642" xr:uid="{3859496B-9D50-495C-BA77-247238D7A4B8}"/>
    <cellStyle name="Percent 2 3 2" xfId="162" xr:uid="{961C1FD6-568E-4EED-A3E3-412232799995}"/>
    <cellStyle name="Percent 2 3 2 2" xfId="463" xr:uid="{0B440DA8-59EC-479A-B727-B990AD7ED222}"/>
    <cellStyle name="Percent 2 3 2 2 2" xfId="827" xr:uid="{7796AD56-DE89-49EE-BE84-0E3D7C2EB9F9}"/>
    <cellStyle name="Percent 2 3 2 3" xfId="643" xr:uid="{72ECF975-DE2C-4661-93C3-75D74FCD4CCF}"/>
    <cellStyle name="Percent 2 3 3" xfId="163" xr:uid="{E1631E43-8974-449D-AA45-7EDFCC40BD11}"/>
    <cellStyle name="Percent 2 3 3 2" xfId="464" xr:uid="{AEE0F2DD-4A54-4D44-A481-9720716CD172}"/>
    <cellStyle name="Percent 2 3 3 2 2" xfId="828" xr:uid="{309BBE09-2DDF-402A-AAC5-F78F685F294C}"/>
    <cellStyle name="Percent 2 3 3 3" xfId="644" xr:uid="{36108DD2-D981-4E06-8A7F-864B0A3A519F}"/>
    <cellStyle name="Percent 2 3 4" xfId="323" xr:uid="{2C463CE7-2075-45BF-98FE-7DDDEA71B056}"/>
    <cellStyle name="Percent 2 3 5" xfId="324" xr:uid="{603AE7FA-DFAA-44E8-9351-050D439F57C2}"/>
    <cellStyle name="Percent 2 3 6" xfId="325" xr:uid="{9C567B79-C745-40AB-B565-17261E9915CF}"/>
    <cellStyle name="Percent 2 3 7" xfId="326" xr:uid="{36E0F411-C15F-401D-9CDD-7A65D8B47987}"/>
    <cellStyle name="Percent 2 3 8" xfId="327" xr:uid="{E89033D5-5DE2-4AB4-AB33-564DD3F8C24D}"/>
    <cellStyle name="Percent 2 3 9" xfId="328" xr:uid="{FA489C2C-3CEA-467F-92B5-63CA1DDB6142}"/>
    <cellStyle name="Percent 2 4" xfId="164" xr:uid="{2442714B-14FF-4C22-BA0F-49063337DC45}"/>
    <cellStyle name="Percent 2 4 10" xfId="329" xr:uid="{FF5FB9F1-4979-40B7-881A-B5CCCC79124B}"/>
    <cellStyle name="Percent 2 4 11" xfId="330" xr:uid="{FFBF8E1B-0B45-452B-9007-547098244853}"/>
    <cellStyle name="Percent 2 4 12" xfId="331" xr:uid="{161F4A07-E3F2-4D42-99AE-8C3447C275B3}"/>
    <cellStyle name="Percent 2 4 13" xfId="645" xr:uid="{FC6C3FF9-FB5A-423B-B16D-B52C78F5A844}"/>
    <cellStyle name="Percent 2 4 2" xfId="165" xr:uid="{F570CD6B-2A7E-43E6-A4AC-255DFD5E45B9}"/>
    <cellStyle name="Percent 2 4 2 2" xfId="465" xr:uid="{25C7E768-CFA8-449F-9058-FABA9D926E85}"/>
    <cellStyle name="Percent 2 4 2 2 2" xfId="829" xr:uid="{54D72053-52D3-44CC-99BD-1D416475F995}"/>
    <cellStyle name="Percent 2 4 2 3" xfId="646" xr:uid="{A328363C-2D80-472D-AABA-93B9CE67F9D2}"/>
    <cellStyle name="Percent 2 4 3" xfId="332" xr:uid="{C412402A-CD85-4A35-BFF2-1A03E6294DB1}"/>
    <cellStyle name="Percent 2 4 4" xfId="333" xr:uid="{386BC6C9-4772-413E-9526-4E3CEB626828}"/>
    <cellStyle name="Percent 2 4 5" xfId="334" xr:uid="{994BEA6D-97CC-4B39-BE56-6BA3136BAD71}"/>
    <cellStyle name="Percent 2 4 6" xfId="335" xr:uid="{CF42279D-50EE-4924-BF8F-0F4EE4D46A77}"/>
    <cellStyle name="Percent 2 4 7" xfId="336" xr:uid="{46199E9F-BC25-4FE3-BBAF-027CD683642A}"/>
    <cellStyle name="Percent 2 4 8" xfId="337" xr:uid="{E7FFB5FE-4696-427C-86A1-0311C97EBB11}"/>
    <cellStyle name="Percent 2 4 9" xfId="338" xr:uid="{D138F199-0BC3-49FA-9F83-13C01709423D}"/>
    <cellStyle name="Percent 2 5" xfId="166" xr:uid="{DEF42E72-910C-44F2-AA50-F883DF475B84}"/>
    <cellStyle name="Percent 2 5 2" xfId="167" xr:uid="{D5D6B010-306C-43A5-BD16-84DE35655E99}"/>
    <cellStyle name="Percent 2 5 2 2" xfId="466" xr:uid="{088A1E80-CB98-44AD-8AEC-ED295CE91B2B}"/>
    <cellStyle name="Percent 2 5 2 2 2" xfId="830" xr:uid="{46181DCA-5A7B-4612-85FC-026E905C3202}"/>
    <cellStyle name="Percent 2 5 2 3" xfId="648" xr:uid="{1FE24228-17C8-4959-B8AD-BA34DC3793D3}"/>
    <cellStyle name="Percent 2 5 3" xfId="467" xr:uid="{12DA6F70-4C0B-4C40-8A5D-A9AD493DE2CA}"/>
    <cellStyle name="Percent 2 5 3 2" xfId="831" xr:uid="{F1A0416B-B959-43F7-A85F-824E9B81F28D}"/>
    <cellStyle name="Percent 2 5 4" xfId="647" xr:uid="{93FB2BFE-E53A-47C1-953A-030C3F860B94}"/>
    <cellStyle name="Percent 2 6" xfId="168" xr:uid="{1BD78A06-FEC5-4E31-9AE1-79EE8105AD37}"/>
    <cellStyle name="Percent 2 6 2" xfId="169" xr:uid="{37AC404C-250B-4C47-83EA-5549E02BBB2C}"/>
    <cellStyle name="Percent 2 6 2 2" xfId="468" xr:uid="{5A67272A-0D2E-4812-BB1D-6C2DE1F9DBCE}"/>
    <cellStyle name="Percent 2 6 2 2 2" xfId="832" xr:uid="{D6420341-5602-432C-9E07-FE5806F3BFC5}"/>
    <cellStyle name="Percent 2 6 2 3" xfId="650" xr:uid="{20C2ED77-4075-4880-BA55-04EC845B6114}"/>
    <cellStyle name="Percent 2 6 3" xfId="469" xr:uid="{9D607C1F-435A-4C71-A50A-8FAE744C4024}"/>
    <cellStyle name="Percent 2 6 3 2" xfId="833" xr:uid="{252522C5-B3EE-45D4-8D2E-3809C36A5009}"/>
    <cellStyle name="Percent 2 6 4" xfId="649" xr:uid="{2A97282F-432E-49DC-A47C-53F662F02AB9}"/>
    <cellStyle name="Percent 2 7" xfId="170" xr:uid="{DB7535EB-5431-459C-8019-F363E7CD915D}"/>
    <cellStyle name="Percent 2 7 2" xfId="470" xr:uid="{712D30A1-AAB3-46BC-B489-C7F944DA3260}"/>
    <cellStyle name="Percent 2 7 2 2" xfId="834" xr:uid="{B72862F1-0DC7-4330-8DA3-2C0E3CDF86E0}"/>
    <cellStyle name="Percent 2 7 3" xfId="651" xr:uid="{A5B311FB-C3B4-4FB5-8FB3-149256A63E47}"/>
    <cellStyle name="Percent 2 8" xfId="171" xr:uid="{134E659E-8C94-40A0-8026-45163257514F}"/>
    <cellStyle name="Percent 2 8 2" xfId="471" xr:uid="{1748DB26-9921-462D-B3CB-D096DE445659}"/>
    <cellStyle name="Percent 2 8 2 2" xfId="835" xr:uid="{737C895E-D3C0-4A90-ADA7-98FFB4DE28A1}"/>
    <cellStyle name="Percent 2 8 3" xfId="652" xr:uid="{F151970E-C81E-4607-8133-BF41C96B1165}"/>
    <cellStyle name="Percent 2 9" xfId="172" xr:uid="{F20DD837-8911-4C1C-A84C-4B216DD144B6}"/>
    <cellStyle name="Percent 2 9 2" xfId="472" xr:uid="{345A3FE4-B146-4E5B-B571-2846197B9844}"/>
    <cellStyle name="Percent 2 9 2 2" xfId="836" xr:uid="{1659E504-E1ED-46AE-BF6E-34796E84BEC9}"/>
    <cellStyle name="Percent 2 9 3" xfId="653" xr:uid="{5323E192-B0BB-4794-B4F1-BC2E318ED6F6}"/>
    <cellStyle name="Percent 3" xfId="52" xr:uid="{D7145B7C-EE6D-481D-9D42-B71ED510A54F}"/>
    <cellStyle name="Percent 3 10" xfId="473" xr:uid="{9EA0BE11-82E9-4FCA-BB77-589FB94AEED1}"/>
    <cellStyle name="Percent 3 10 2" xfId="837" xr:uid="{E62B7DCC-41BE-467D-A3BF-F8B98055AED7}"/>
    <cellStyle name="Percent 3 11" xfId="474" xr:uid="{2DBAEBB8-0424-45C4-AF34-87EDAF58EA64}"/>
    <cellStyle name="Percent 3 11 2" xfId="838" xr:uid="{8165127A-7188-49C6-97D1-89E94B55FB71}"/>
    <cellStyle name="Percent 3 12" xfId="538" xr:uid="{12553939-3A55-4F7E-B27A-857DC7B830AC}"/>
    <cellStyle name="Percent 3 2" xfId="173" xr:uid="{A8893069-4BA3-47D6-8734-3A2E11C3B555}"/>
    <cellStyle name="Percent 3 2 2" xfId="174" xr:uid="{DEA13042-97AF-4155-9598-BD5C3829BC85}"/>
    <cellStyle name="Percent 3 2 2 2" xfId="175" xr:uid="{16F6F997-E5C0-4B67-8ED5-993F8F1E3390}"/>
    <cellStyle name="Percent 3 2 2 2 2" xfId="475" xr:uid="{14A7DBCF-EB7C-4AB5-887F-64E12C924F43}"/>
    <cellStyle name="Percent 3 2 2 2 2 2" xfId="839" xr:uid="{8BEA9095-5CAA-478E-9B2E-0E720F917068}"/>
    <cellStyle name="Percent 3 2 2 2 3" xfId="656" xr:uid="{497DE0B5-3408-4C4D-A7C4-7C34E7C04E3A}"/>
    <cellStyle name="Percent 3 2 2 3" xfId="476" xr:uid="{6E64F770-EB3A-4FB5-9C30-419B80233510}"/>
    <cellStyle name="Percent 3 2 2 3 2" xfId="840" xr:uid="{2DD8D728-5717-4109-9E78-5EDBDB409E4E}"/>
    <cellStyle name="Percent 3 2 2 4" xfId="655" xr:uid="{0FC96643-C8DF-4BBD-9E4E-437317D5B734}"/>
    <cellStyle name="Percent 3 2 3" xfId="176" xr:uid="{699F07F8-4376-495E-B6EE-5E30E7F1E7C5}"/>
    <cellStyle name="Percent 3 2 3 2" xfId="477" xr:uid="{0FD32354-A981-4C19-8AE6-D1E466AB972F}"/>
    <cellStyle name="Percent 3 2 3 2 2" xfId="841" xr:uid="{F2C6B254-52E5-42C2-A856-CE212164A3D3}"/>
    <cellStyle name="Percent 3 2 3 3" xfId="657" xr:uid="{FD1228DD-A69A-4464-A013-9539611A0A66}"/>
    <cellStyle name="Percent 3 2 4" xfId="177" xr:uid="{C3953A1F-0168-421F-80FD-B0A40AB438E1}"/>
    <cellStyle name="Percent 3 2 4 2" xfId="478" xr:uid="{FC2BFB85-DF9B-4E14-9785-FF5D196E7B20}"/>
    <cellStyle name="Percent 3 2 4 2 2" xfId="842" xr:uid="{99682F07-6A6C-49A0-A39D-A8193B2EC1ED}"/>
    <cellStyle name="Percent 3 2 4 3" xfId="658" xr:uid="{19E3BD55-8195-4D36-8FA8-4C5D7E7DDFFE}"/>
    <cellStyle name="Percent 3 2 5" xfId="479" xr:uid="{BDC0325F-04AB-45C0-867A-C097DC5337F5}"/>
    <cellStyle name="Percent 3 2 5 2" xfId="843" xr:uid="{70314283-2B95-41E4-980F-7AC9BA7A43FC}"/>
    <cellStyle name="Percent 3 2 6" xfId="480" xr:uid="{4BA7DDF6-7E9A-4ABC-B27D-136D75396901}"/>
    <cellStyle name="Percent 3 2 6 2" xfId="844" xr:uid="{76B934B9-BF32-4C34-9BD8-1EDE7FBC850A}"/>
    <cellStyle name="Percent 3 2 7" xfId="654" xr:uid="{79314195-C9C7-4C5E-955E-3C4C7A8BCFD7}"/>
    <cellStyle name="Percent 3 3" xfId="178" xr:uid="{E3D8038B-DF0E-4169-8F01-E8BF3A7E6EA6}"/>
    <cellStyle name="Percent 3 3 2" xfId="179" xr:uid="{85F98C37-A7C9-472E-B840-34853BC4BD9E}"/>
    <cellStyle name="Percent 3 3 2 2" xfId="481" xr:uid="{182A7BFD-75C3-4799-83C6-BEF17C091D9B}"/>
    <cellStyle name="Percent 3 3 2 2 2" xfId="845" xr:uid="{B0BD3C52-B3B8-484C-B6C9-E0A155B12070}"/>
    <cellStyle name="Percent 3 3 2 3" xfId="660" xr:uid="{AD4719F7-3826-4D67-9065-AEC3AC8891DC}"/>
    <cellStyle name="Percent 3 3 3" xfId="180" xr:uid="{96237EC7-D392-445A-B29A-F4560BA59B31}"/>
    <cellStyle name="Percent 3 3 3 2" xfId="482" xr:uid="{4BD548BD-D4C3-4609-AE74-6A266203A74C}"/>
    <cellStyle name="Percent 3 3 3 2 2" xfId="846" xr:uid="{7B1B932C-9E22-4E29-82FA-4736649A4308}"/>
    <cellStyle name="Percent 3 3 3 3" xfId="661" xr:uid="{851FECAE-0588-426E-90CD-9E8B2CC76F11}"/>
    <cellStyle name="Percent 3 3 4" xfId="483" xr:uid="{8462540A-E709-45DA-9F0B-5888928F3547}"/>
    <cellStyle name="Percent 3 3 4 2" xfId="847" xr:uid="{E7E97735-50BD-49D2-B08A-44C479D3EED0}"/>
    <cellStyle name="Percent 3 3 5" xfId="659" xr:uid="{4FA63CD6-B4FA-408B-AFC1-53265A6F515D}"/>
    <cellStyle name="Percent 3 4" xfId="181" xr:uid="{FD0C65F1-EBA0-405F-B0B7-4AB0DD54DD25}"/>
    <cellStyle name="Percent 3 4 2" xfId="182" xr:uid="{54E6E069-03D5-4DD9-97CE-66D13F60528A}"/>
    <cellStyle name="Percent 3 4 2 2" xfId="484" xr:uid="{E21A507C-6236-43F1-BFC5-0A9EAEF18A12}"/>
    <cellStyle name="Percent 3 4 2 2 2" xfId="848" xr:uid="{AFC5827C-93F2-461A-BB1B-66ACCFBA7CF9}"/>
    <cellStyle name="Percent 3 4 2 3" xfId="663" xr:uid="{F4D32BCF-1ADA-4354-BB0C-B8108925AEB7}"/>
    <cellStyle name="Percent 3 4 3" xfId="485" xr:uid="{082C2A06-48C1-4D62-A657-2F2D9AFA71E7}"/>
    <cellStyle name="Percent 3 4 3 2" xfId="849" xr:uid="{7E33AE4F-3957-44C8-A2E7-D93A1B9793CD}"/>
    <cellStyle name="Percent 3 4 4" xfId="662" xr:uid="{B0C856F8-6930-43D3-96C3-37E16B1DD9F5}"/>
    <cellStyle name="Percent 3 5" xfId="183" xr:uid="{48748D68-89DA-4520-916E-3745C07E1819}"/>
    <cellStyle name="Percent 3 5 2" xfId="184" xr:uid="{CAD33DEB-3AA5-4D67-9AC9-F3EE644E5083}"/>
    <cellStyle name="Percent 3 5 2 2" xfId="486" xr:uid="{28106AA6-D666-44EE-A5B9-EFD02B9B481D}"/>
    <cellStyle name="Percent 3 5 2 2 2" xfId="850" xr:uid="{F092EA89-3103-4075-A45C-76E4F9E71468}"/>
    <cellStyle name="Percent 3 5 2 3" xfId="665" xr:uid="{7635178D-6B7E-4F28-9FAE-475F903A4911}"/>
    <cellStyle name="Percent 3 5 3" xfId="487" xr:uid="{A1463B14-E36C-4C5C-90E1-439C25F8FF6F}"/>
    <cellStyle name="Percent 3 5 3 2" xfId="851" xr:uid="{26C84696-5FA4-41CB-B359-06FE0F144832}"/>
    <cellStyle name="Percent 3 5 4" xfId="664" xr:uid="{088AC6AC-92AC-4CD6-A496-012668C8779B}"/>
    <cellStyle name="Percent 3 6" xfId="185" xr:uid="{6D29FE17-0748-4335-AD65-27DECD922745}"/>
    <cellStyle name="Percent 3 6 2" xfId="186" xr:uid="{2A5ECB68-7157-4C9C-8CC0-73752FA10DF5}"/>
    <cellStyle name="Percent 3 6 2 2" xfId="488" xr:uid="{9F0D8C78-F98B-4239-9BA2-C46597295C4D}"/>
    <cellStyle name="Percent 3 6 2 2 2" xfId="852" xr:uid="{B6215981-09DC-46E7-BECC-174EAE00BA99}"/>
    <cellStyle name="Percent 3 6 2 3" xfId="667" xr:uid="{CDF9F879-FA58-457B-AA12-6B28F202175A}"/>
    <cellStyle name="Percent 3 6 3" xfId="489" xr:uid="{9248804A-3DF3-4725-9461-AEF78CBE2651}"/>
    <cellStyle name="Percent 3 6 3 2" xfId="853" xr:uid="{348CB788-990F-413A-8443-D084D05E9CDD}"/>
    <cellStyle name="Percent 3 6 4" xfId="666" xr:uid="{E36E3351-82C9-4493-92D6-40515614ECE4}"/>
    <cellStyle name="Percent 3 7" xfId="187" xr:uid="{9DFE301C-83E0-4DC0-931A-81E8E470AB22}"/>
    <cellStyle name="Percent 3 7 2" xfId="490" xr:uid="{3DAC207A-98D5-4B39-9924-9C0D7F7FA1BB}"/>
    <cellStyle name="Percent 3 7 2 2" xfId="854" xr:uid="{4BE1FDD0-EC55-4C5F-B288-8E85E9E6DA73}"/>
    <cellStyle name="Percent 3 7 3" xfId="668" xr:uid="{ECB8503B-B1AD-42FC-BA52-53DA9AD0EA74}"/>
    <cellStyle name="Percent 3 8" xfId="188" xr:uid="{3ABBB251-8DCB-46B4-A42D-1C5DC9D23BA7}"/>
    <cellStyle name="Percent 3 8 2" xfId="491" xr:uid="{067C6FD7-E6B9-4C3B-951E-28749CF382FD}"/>
    <cellStyle name="Percent 3 8 2 2" xfId="855" xr:uid="{F8D4CDAC-65FC-4600-BC99-EEFC5221AA66}"/>
    <cellStyle name="Percent 3 8 3" xfId="669" xr:uid="{239ED91E-6B68-4CF9-9C1B-21CF328322F6}"/>
    <cellStyle name="Percent 3 9" xfId="189" xr:uid="{9D00E5D1-0496-4E71-A619-55A38F329E43}"/>
    <cellStyle name="Percent 3 9 2" xfId="492" xr:uid="{AE2194A5-04CB-474D-98EE-4F217232CDA0}"/>
    <cellStyle name="Percent 3 9 2 2" xfId="856" xr:uid="{F542473F-FD46-409B-A649-B942D21E8977}"/>
    <cellStyle name="Percent 3 9 3" xfId="670" xr:uid="{AE0F1251-0EE5-4246-99E6-4A3283A69AA6}"/>
    <cellStyle name="Percent 4" xfId="190" xr:uid="{485EA810-7FCB-4CDC-A291-C6E22732B3D1}"/>
    <cellStyle name="Percent 4 10" xfId="493" xr:uid="{877F8991-321F-47C8-8D2E-FD7234A6C25E}"/>
    <cellStyle name="Percent 4 10 2" xfId="857" xr:uid="{129A7893-9FD9-450B-98A0-9826352BA5B2}"/>
    <cellStyle name="Percent 4 11" xfId="494" xr:uid="{E024FB48-17E1-4ABA-B8CC-D209D2D0E030}"/>
    <cellStyle name="Percent 4 11 2" xfId="858" xr:uid="{261552E2-E699-4E0B-B161-92E19205686B}"/>
    <cellStyle name="Percent 4 12" xfId="671" xr:uid="{C432340C-2056-4538-B3AA-969FD7925252}"/>
    <cellStyle name="Percent 4 2" xfId="191" xr:uid="{A0CAEB93-C5FB-4F55-9BA4-0B1017EC583B}"/>
    <cellStyle name="Percent 4 2 2" xfId="192" xr:uid="{A60740D3-3670-4789-803C-A1BB2DB856D5}"/>
    <cellStyle name="Percent 4 2 2 2" xfId="193" xr:uid="{FEDBA9F5-1DE8-40C5-969C-99D4D598D964}"/>
    <cellStyle name="Percent 4 2 2 2 2" xfId="495" xr:uid="{E3552F16-1B84-4B5A-8CEC-2AC1E0011095}"/>
    <cellStyle name="Percent 4 2 2 2 2 2" xfId="859" xr:uid="{9FE051FA-D67A-4E35-9208-C17DD393EFF7}"/>
    <cellStyle name="Percent 4 2 2 2 3" xfId="674" xr:uid="{DF232DD9-8F57-4BF1-889B-B3841F249872}"/>
    <cellStyle name="Percent 4 2 2 3" xfId="496" xr:uid="{13921662-4194-4215-A101-6C14C117D5B0}"/>
    <cellStyle name="Percent 4 2 2 3 2" xfId="860" xr:uid="{E4BBD4A3-1BEC-429D-82C6-7A304A4AD21D}"/>
    <cellStyle name="Percent 4 2 2 4" xfId="673" xr:uid="{4B6B08B7-9FB1-4F54-BB56-03B4753DC45A}"/>
    <cellStyle name="Percent 4 2 3" xfId="194" xr:uid="{6D5B6D17-543B-4AEF-B329-236BB28D3C7B}"/>
    <cellStyle name="Percent 4 2 3 2" xfId="497" xr:uid="{9E5CAA91-B281-4F3E-861B-CA44A8A861E4}"/>
    <cellStyle name="Percent 4 2 3 2 2" xfId="861" xr:uid="{81425A36-CE83-4DAF-8A15-8D94CE780936}"/>
    <cellStyle name="Percent 4 2 3 3" xfId="675" xr:uid="{4165ABFC-2E1E-4D0C-80CA-C1146229A0C7}"/>
    <cellStyle name="Percent 4 2 4" xfId="195" xr:uid="{E64B99E4-E78D-4587-9F79-61240171C0B9}"/>
    <cellStyle name="Percent 4 2 4 2" xfId="498" xr:uid="{543611D3-03A5-4E8E-80DD-3F8313E0E490}"/>
    <cellStyle name="Percent 4 2 4 2 2" xfId="862" xr:uid="{D7A3E316-AFAB-49ED-B55C-B37314E653DF}"/>
    <cellStyle name="Percent 4 2 4 3" xfId="676" xr:uid="{E8392F89-3A80-40AE-BB03-6255D43C1498}"/>
    <cellStyle name="Percent 4 2 5" xfId="499" xr:uid="{125564BD-2333-436C-A4BA-9C19DD6B4132}"/>
    <cellStyle name="Percent 4 2 5 2" xfId="863" xr:uid="{538C6F92-E1A8-4609-8720-ADE49A074879}"/>
    <cellStyle name="Percent 4 2 6" xfId="500" xr:uid="{D21A634B-293A-46C0-85C0-158C62B23676}"/>
    <cellStyle name="Percent 4 2 6 2" xfId="864" xr:uid="{9590A5B2-40F9-4BD0-AB60-DADB058EE77B}"/>
    <cellStyle name="Percent 4 2 7" xfId="672" xr:uid="{2DA84550-F535-4820-8E8C-0D91629D4E03}"/>
    <cellStyle name="Percent 4 3" xfId="196" xr:uid="{353C386E-9614-42CB-81CA-7F20B70363C2}"/>
    <cellStyle name="Percent 4 3 2" xfId="197" xr:uid="{CED2A44B-E58F-45E2-9205-1582DAF40378}"/>
    <cellStyle name="Percent 4 3 2 2" xfId="501" xr:uid="{742AD79C-C716-41E3-8555-9C1D993A2330}"/>
    <cellStyle name="Percent 4 3 2 2 2" xfId="865" xr:uid="{9F169430-4CD4-437C-9004-FB424FF4D887}"/>
    <cellStyle name="Percent 4 3 2 3" xfId="678" xr:uid="{71881501-48B4-4F5A-BD78-881F099D3395}"/>
    <cellStyle name="Percent 4 3 3" xfId="198" xr:uid="{2B58B64F-174F-42C1-98DF-A4DAAECB6CAE}"/>
    <cellStyle name="Percent 4 3 3 2" xfId="502" xr:uid="{9A966F09-5A71-43ED-9CE6-802C0EB067FC}"/>
    <cellStyle name="Percent 4 3 3 2 2" xfId="866" xr:uid="{C61B7661-2137-4A62-8A89-389F2E9CB8E5}"/>
    <cellStyle name="Percent 4 3 3 3" xfId="679" xr:uid="{A7B0C2D4-805C-4CA0-94A8-B9E65A601AD4}"/>
    <cellStyle name="Percent 4 3 4" xfId="503" xr:uid="{1AFBA0ED-F74F-4C9F-815D-FCA48CFF0F28}"/>
    <cellStyle name="Percent 4 3 4 2" xfId="867" xr:uid="{E1794CDE-40DC-4500-ADC6-CA6D1AFD70B5}"/>
    <cellStyle name="Percent 4 3 5" xfId="677" xr:uid="{E646544E-5C14-4938-90AE-FF9E0F5F68D2}"/>
    <cellStyle name="Percent 4 4" xfId="199" xr:uid="{4FA43483-D038-4171-8A5B-00FFA26B3EFD}"/>
    <cellStyle name="Percent 4 4 2" xfId="200" xr:uid="{68AC87D6-FF77-4FFC-A7E6-89E47F5DD3C5}"/>
    <cellStyle name="Percent 4 4 2 2" xfId="504" xr:uid="{6B6300DE-0389-4725-83FF-7B18DCCB2A3C}"/>
    <cellStyle name="Percent 4 4 2 2 2" xfId="868" xr:uid="{FB11F7A8-7DBE-4700-AAFC-0B9E9D9CAB93}"/>
    <cellStyle name="Percent 4 4 2 3" xfId="681" xr:uid="{FF2C0D20-97DB-47BF-84CE-3BBC320A4556}"/>
    <cellStyle name="Percent 4 4 3" xfId="505" xr:uid="{29620AE4-7C5E-45E2-AEC4-6526AD229CDD}"/>
    <cellStyle name="Percent 4 4 3 2" xfId="869" xr:uid="{9CF6C8C0-4515-4135-9BBC-1775C0D15373}"/>
    <cellStyle name="Percent 4 4 4" xfId="680" xr:uid="{F5DC62FB-8101-425E-A5EE-C2D04DFB7F2C}"/>
    <cellStyle name="Percent 4 5" xfId="201" xr:uid="{20C36CAE-6113-4950-B429-52CEC9C11283}"/>
    <cellStyle name="Percent 4 5 2" xfId="202" xr:uid="{6D434936-3E3B-4FE9-B544-DA3BE7075A7C}"/>
    <cellStyle name="Percent 4 5 2 2" xfId="506" xr:uid="{A70AF702-74BE-44E2-9A4B-4FA9B66B4B2E}"/>
    <cellStyle name="Percent 4 5 2 2 2" xfId="870" xr:uid="{FE8137A0-B9B3-4A1E-903E-A64CD29DACE0}"/>
    <cellStyle name="Percent 4 5 2 3" xfId="683" xr:uid="{0A4BD8D8-EE6E-404C-B335-F7471C8C6695}"/>
    <cellStyle name="Percent 4 5 3" xfId="507" xr:uid="{4A164522-E51C-4D63-9F69-9F6922E588A9}"/>
    <cellStyle name="Percent 4 5 3 2" xfId="871" xr:uid="{78F2604D-7759-49A2-A92D-B10ABE3B7507}"/>
    <cellStyle name="Percent 4 5 4" xfId="682" xr:uid="{729349B5-6A20-412E-9BDB-4B0DABC18C8A}"/>
    <cellStyle name="Percent 4 6" xfId="203" xr:uid="{1F8D63EC-3A2F-49C6-AF16-7803F12F6C4E}"/>
    <cellStyle name="Percent 4 6 2" xfId="204" xr:uid="{CD81C930-B5CB-4AC0-96AD-36D1935A3B46}"/>
    <cellStyle name="Percent 4 6 2 2" xfId="508" xr:uid="{2C4B7ED4-5A00-4AEF-8F91-174682CB6578}"/>
    <cellStyle name="Percent 4 6 2 2 2" xfId="872" xr:uid="{6C5CD174-DC06-4802-B52F-73B37EF856AC}"/>
    <cellStyle name="Percent 4 6 2 3" xfId="685" xr:uid="{380A0235-5C95-4968-905D-7A37287EBBD5}"/>
    <cellStyle name="Percent 4 6 3" xfId="509" xr:uid="{2ABCB7D8-FF53-449E-BB40-18AB73463741}"/>
    <cellStyle name="Percent 4 6 3 2" xfId="873" xr:uid="{BB49206E-49D5-4EB7-ABBF-E885648EE50E}"/>
    <cellStyle name="Percent 4 6 4" xfId="684" xr:uid="{85C44FD7-9C03-4083-9E10-CE8301A8FEAE}"/>
    <cellStyle name="Percent 4 7" xfId="205" xr:uid="{D1E4F79D-E36A-4AEB-8F3B-A0C4625468BE}"/>
    <cellStyle name="Percent 4 7 2" xfId="510" xr:uid="{812C5FD3-457A-46F5-BAC2-F5875D9AE1F7}"/>
    <cellStyle name="Percent 4 7 2 2" xfId="874" xr:uid="{9AC70EAD-D7A1-4AB4-8CF2-6E078B4D2679}"/>
    <cellStyle name="Percent 4 7 3" xfId="686" xr:uid="{5149AC98-EE3F-42E7-91C1-C9A96519373C}"/>
    <cellStyle name="Percent 4 8" xfId="206" xr:uid="{9AB03068-A81B-41CE-9ED5-A55480EF67FB}"/>
    <cellStyle name="Percent 4 8 2" xfId="511" xr:uid="{147D0A96-E7F9-4157-88E5-5671893B58F9}"/>
    <cellStyle name="Percent 4 8 2 2" xfId="875" xr:uid="{ABC6EB93-F580-4233-97BD-04873940E823}"/>
    <cellStyle name="Percent 4 8 3" xfId="687" xr:uid="{7EFAA069-4660-4C3B-97B6-DA3838740B56}"/>
    <cellStyle name="Percent 4 9" xfId="207" xr:uid="{9FCDEADA-64EA-4C35-88F9-617106B5284E}"/>
    <cellStyle name="Percent 4 9 2" xfId="512" xr:uid="{2A306B1F-BE3B-41E1-BF55-EE2C945FD4CD}"/>
    <cellStyle name="Percent 4 9 2 2" xfId="876" xr:uid="{01F50BE3-98C4-4421-B264-27C2ABE5D410}"/>
    <cellStyle name="Percent 4 9 3" xfId="688" xr:uid="{4E7A3E1B-7E1C-4B1C-9F23-00AD6B44C487}"/>
    <cellStyle name="Percent 5" xfId="208" xr:uid="{640018A4-28F7-4C9B-9C86-13A039B19D5F}"/>
    <cellStyle name="Percent 5 10" xfId="513" xr:uid="{3C203B51-E1A6-4676-885A-1AC59E957FC5}"/>
    <cellStyle name="Percent 5 10 2" xfId="877" xr:uid="{3D0DBC55-92F4-492D-9BA2-49BFD1ABF128}"/>
    <cellStyle name="Percent 5 11" xfId="689" xr:uid="{052AD732-63A5-409B-9899-61067A95891F}"/>
    <cellStyle name="Percent 5 2" xfId="209" xr:uid="{8CF30933-87B2-4ADF-B433-D0022CE443D6}"/>
    <cellStyle name="Percent 5 2 2" xfId="210" xr:uid="{8AFF5AA2-9C38-49DE-AFA0-06FC823B9ADB}"/>
    <cellStyle name="Percent 5 2 2 2" xfId="514" xr:uid="{8FF35C3E-F2D1-43BC-9A41-0AF697E72749}"/>
    <cellStyle name="Percent 5 2 2 2 2" xfId="878" xr:uid="{80E408F1-1684-44F8-873D-F2AC6A79D422}"/>
    <cellStyle name="Percent 5 2 2 3" xfId="691" xr:uid="{231AB968-1902-4CDE-A19A-D590F5E87CBA}"/>
    <cellStyle name="Percent 5 2 3" xfId="211" xr:uid="{47EDAA97-29EA-49B6-ABFD-4DA1D3C57FA1}"/>
    <cellStyle name="Percent 5 2 3 2" xfId="515" xr:uid="{01EE1875-D513-4C31-AC73-DD36C903A60B}"/>
    <cellStyle name="Percent 5 2 3 2 2" xfId="879" xr:uid="{2C52E941-79DF-4EA9-8A9D-326BFF409708}"/>
    <cellStyle name="Percent 5 2 3 3" xfId="692" xr:uid="{4667FFB4-9DE8-4A6E-9152-3E4627FA832E}"/>
    <cellStyle name="Percent 5 2 4" xfId="516" xr:uid="{939D5658-8956-4988-8DA3-2357FD702B01}"/>
    <cellStyle name="Percent 5 2 4 2" xfId="880" xr:uid="{3CC1378F-2B81-4B5C-8673-BC4521D97A1C}"/>
    <cellStyle name="Percent 5 2 5" xfId="690" xr:uid="{F24037F4-A4A9-4F96-A07A-9D535B58EBAE}"/>
    <cellStyle name="Percent 5 3" xfId="212" xr:uid="{16D9786C-F131-481C-948C-9D0B1FBA3599}"/>
    <cellStyle name="Percent 5 3 2" xfId="213" xr:uid="{DB989FCE-12FF-4FDF-BB51-5139B03505AC}"/>
    <cellStyle name="Percent 5 3 2 2" xfId="517" xr:uid="{F72C57D2-CEB1-4B28-B690-B1461AFF765F}"/>
    <cellStyle name="Percent 5 3 2 2 2" xfId="881" xr:uid="{C36BEB21-6C79-4E08-BFA3-3816B9AB6C61}"/>
    <cellStyle name="Percent 5 3 2 3" xfId="694" xr:uid="{A0532F6C-B12A-4243-A098-DE8E105CECF7}"/>
    <cellStyle name="Percent 5 3 3" xfId="518" xr:uid="{7EEF55D1-2F32-4454-8971-1429D21C524E}"/>
    <cellStyle name="Percent 5 3 3 2" xfId="882" xr:uid="{AE4D8F60-B165-4CA2-91E2-31118DA3D70A}"/>
    <cellStyle name="Percent 5 3 4" xfId="693" xr:uid="{26181A93-AD60-400A-816E-C7D6C45A0712}"/>
    <cellStyle name="Percent 5 4" xfId="214" xr:uid="{2C19B6CF-A60B-48D3-A41F-738327AC912D}"/>
    <cellStyle name="Percent 5 4 2" xfId="215" xr:uid="{2EC2B089-357A-466A-A9E6-55617D544947}"/>
    <cellStyle name="Percent 5 4 2 2" xfId="519" xr:uid="{FA3A1C0B-FBF2-4991-AE62-3B5C46AEB997}"/>
    <cellStyle name="Percent 5 4 2 2 2" xfId="883" xr:uid="{01F97153-BBEF-4E76-A95F-5B05E72F9476}"/>
    <cellStyle name="Percent 5 4 2 3" xfId="696" xr:uid="{8B1B242C-1624-4388-BB12-22E4858A014B}"/>
    <cellStyle name="Percent 5 4 3" xfId="520" xr:uid="{F08C90A5-4060-4749-9F99-D30175DD0F9B}"/>
    <cellStyle name="Percent 5 4 3 2" xfId="884" xr:uid="{439AC95D-FB98-4301-9755-9B1E35778BC3}"/>
    <cellStyle name="Percent 5 4 4" xfId="695" xr:uid="{284E1286-AE22-44AA-A25B-E09B5E501C76}"/>
    <cellStyle name="Percent 5 5" xfId="216" xr:uid="{20B3D400-E334-4129-BF76-955DB63C8F79}"/>
    <cellStyle name="Percent 5 5 2" xfId="217" xr:uid="{D9C21B1C-7876-4659-8669-80F5E5F3EC4A}"/>
    <cellStyle name="Percent 5 5 2 2" xfId="521" xr:uid="{A9E62F53-9B6A-426B-88AD-4311AF8A1076}"/>
    <cellStyle name="Percent 5 5 2 2 2" xfId="885" xr:uid="{58D13A5A-9298-49BB-BB97-B1C48805B422}"/>
    <cellStyle name="Percent 5 5 2 3" xfId="698" xr:uid="{6A0DFB3F-2C6F-4CBA-81A2-8EA8600E02B7}"/>
    <cellStyle name="Percent 5 5 3" xfId="522" xr:uid="{AE58EB64-DD8C-464E-82EA-BE651B52AFC4}"/>
    <cellStyle name="Percent 5 5 3 2" xfId="886" xr:uid="{425E1186-9ACD-45E2-BF03-1C51834ACFC3}"/>
    <cellStyle name="Percent 5 5 4" xfId="697" xr:uid="{6DEA2F03-E233-4A5E-8891-2A33C686B275}"/>
    <cellStyle name="Percent 5 6" xfId="218" xr:uid="{6177A88D-66A8-4F18-9F2D-F01CAC50BFFA}"/>
    <cellStyle name="Percent 5 6 2" xfId="523" xr:uid="{053F2D7B-2A10-42CE-8D2D-6D4CFEA1D4D3}"/>
    <cellStyle name="Percent 5 6 2 2" xfId="887" xr:uid="{B424CA60-7CFF-469A-B6B5-060CF7A2E677}"/>
    <cellStyle name="Percent 5 6 3" xfId="699" xr:uid="{B46A1D45-86F4-41E6-AA89-D05A4A4098F6}"/>
    <cellStyle name="Percent 5 7" xfId="219" xr:uid="{ADF55EBD-0B38-4848-AA04-5A83F8F5A2F7}"/>
    <cellStyle name="Percent 5 7 2" xfId="524" xr:uid="{DA74300C-852A-437A-BD3C-55F0FD425698}"/>
    <cellStyle name="Percent 5 7 2 2" xfId="888" xr:uid="{A8313FF1-4FB0-4094-AD33-442E77E12D57}"/>
    <cellStyle name="Percent 5 7 3" xfId="700" xr:uid="{861EAEFD-B43E-4AD8-ACF5-C3EF7969F1DD}"/>
    <cellStyle name="Percent 5 8" xfId="220" xr:uid="{294ED370-FF0C-49D8-A217-6AEFA30948B9}"/>
    <cellStyle name="Percent 5 8 2" xfId="525" xr:uid="{782C6D59-F0A1-41BC-9B20-2E976A347945}"/>
    <cellStyle name="Percent 5 8 2 2" xfId="889" xr:uid="{3902FF7D-0434-467A-B55D-A864956EC475}"/>
    <cellStyle name="Percent 5 8 3" xfId="701" xr:uid="{D18F8BF8-2B16-4F0B-83C3-67F76A5756D2}"/>
    <cellStyle name="Percent 5 9" xfId="526" xr:uid="{64055191-FE7A-4D79-B011-5473CC69F08E}"/>
    <cellStyle name="Percent 5 9 2" xfId="890" xr:uid="{318893C3-B586-492B-967A-8A11DF9AA0C5}"/>
    <cellStyle name="Percent 6" xfId="339" xr:uid="{E5C50E67-E958-4CBC-8FF0-CE8B4D511466}"/>
    <cellStyle name="Percent 7" xfId="534" xr:uid="{32820E1A-1F94-451E-B044-72EE1B483B42}"/>
    <cellStyle name="Percent 9" xfId="340" xr:uid="{3C728BEA-224A-4577-BFC8-C74AE7C37CEE}"/>
    <cellStyle name="Total 2" xfId="341" xr:uid="{5624073A-9B0D-4545-946F-2016F773201C}"/>
    <cellStyle name="Warning Text 2" xfId="342" xr:uid="{D33707DA-3E10-4BC5-B555-C20D0E031E63}"/>
  </cellStyles>
  <dxfs count="0"/>
  <tableStyles count="0" defaultTableStyle="TableStyleMedium2" defaultPivotStyle="PivotStyleMedium9"/>
  <colors>
    <mruColors>
      <color rgb="FF00CC66"/>
      <color rgb="FF00FF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61198"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o.gov/publication/6119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publication/6119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o.gov/publication/6119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o.gov/publication/61198"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o.gov/publication/6119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o.gov/publication/61198"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o.gov/publication/61198"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bo.gov/publication/611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5"/>
  <sheetViews>
    <sheetView zoomScaleNormal="100" workbookViewId="0">
      <selection activeCell="A31" sqref="A18:A31"/>
    </sheetView>
  </sheetViews>
  <sheetFormatPr baseColWidth="10" defaultColWidth="9.1640625" defaultRowHeight="14"/>
  <cols>
    <col min="1" max="1" width="113.83203125" style="102" customWidth="1"/>
    <col min="2" max="16384" width="9.1640625" style="102"/>
  </cols>
  <sheetData>
    <row r="1" spans="1:15" s="4" customFormat="1" ht="15" customHeight="1">
      <c r="A1" s="2" t="s">
        <v>101</v>
      </c>
      <c r="B1" s="3"/>
      <c r="C1" s="3"/>
      <c r="D1" s="3"/>
      <c r="E1" s="3"/>
      <c r="F1" s="3"/>
      <c r="G1" s="3"/>
      <c r="H1" s="3"/>
      <c r="I1" s="3"/>
      <c r="J1" s="3"/>
      <c r="K1" s="3"/>
      <c r="L1" s="3"/>
      <c r="M1" s="3"/>
      <c r="N1" s="3"/>
      <c r="O1" s="3"/>
    </row>
    <row r="2" spans="1:15" s="4" customFormat="1" ht="15" customHeight="1">
      <c r="A2" s="210" t="s">
        <v>119</v>
      </c>
      <c r="B2" s="3"/>
      <c r="C2" s="3"/>
      <c r="D2" s="3"/>
      <c r="E2" s="3"/>
      <c r="F2" s="3"/>
      <c r="G2" s="3"/>
      <c r="H2" s="3"/>
      <c r="I2" s="3"/>
      <c r="J2" s="3"/>
      <c r="K2" s="3"/>
      <c r="L2" s="3"/>
      <c r="M2" s="3"/>
      <c r="N2" s="3"/>
      <c r="O2" s="3"/>
    </row>
    <row r="3" spans="1:15" s="4" customFormat="1" ht="15" customHeight="1">
      <c r="A3" s="165"/>
      <c r="B3" s="3"/>
      <c r="C3" s="3"/>
      <c r="D3" s="3"/>
      <c r="E3" s="3"/>
      <c r="F3" s="3"/>
      <c r="G3" s="3"/>
      <c r="H3" s="3"/>
      <c r="I3" s="3"/>
      <c r="J3" s="3"/>
      <c r="K3" s="3"/>
      <c r="L3" s="3"/>
      <c r="M3" s="3"/>
      <c r="N3" s="3"/>
      <c r="O3" s="3"/>
    </row>
    <row r="5" spans="1:15">
      <c r="A5" s="103" t="s">
        <v>4</v>
      </c>
    </row>
    <row r="7" spans="1:15">
      <c r="A7" s="104" t="s">
        <v>12</v>
      </c>
    </row>
    <row r="8" spans="1:15">
      <c r="A8" s="104" t="s">
        <v>23</v>
      </c>
    </row>
    <row r="9" spans="1:15">
      <c r="A9" s="104" t="s">
        <v>11</v>
      </c>
    </row>
    <row r="10" spans="1:15">
      <c r="A10" s="104" t="s">
        <v>48</v>
      </c>
    </row>
    <row r="11" spans="1:15">
      <c r="A11" s="104" t="s">
        <v>93</v>
      </c>
    </row>
    <row r="12" spans="1:15">
      <c r="A12" s="104" t="s">
        <v>94</v>
      </c>
    </row>
    <row r="13" spans="1:15">
      <c r="A13" s="104" t="s">
        <v>95</v>
      </c>
    </row>
    <row r="14" spans="1:15">
      <c r="A14" s="104" t="s">
        <v>96</v>
      </c>
    </row>
    <row r="15" spans="1:15">
      <c r="A15" s="104"/>
    </row>
    <row r="16" spans="1:15">
      <c r="A16" s="104"/>
    </row>
    <row r="17" spans="1:1">
      <c r="A17" s="105" t="s">
        <v>6</v>
      </c>
    </row>
    <row r="18" spans="1:1" ht="60">
      <c r="A18" s="172" t="s">
        <v>97</v>
      </c>
    </row>
    <row r="19" spans="1:1" ht="15" customHeight="1">
      <c r="A19" s="106"/>
    </row>
    <row r="20" spans="1:1" ht="90">
      <c r="A20" s="172" t="s">
        <v>121</v>
      </c>
    </row>
    <row r="22" spans="1:1">
      <c r="A22" s="103" t="s">
        <v>5</v>
      </c>
    </row>
    <row r="23" spans="1:1" ht="120">
      <c r="A23" s="106" t="s">
        <v>99</v>
      </c>
    </row>
    <row r="24" spans="1:1">
      <c r="A24" s="106"/>
    </row>
    <row r="25" spans="1:1" ht="30">
      <c r="A25" s="106" t="s">
        <v>98</v>
      </c>
    </row>
    <row r="26" spans="1:1">
      <c r="A26" s="107"/>
    </row>
    <row r="27" spans="1:1" ht="128.25" customHeight="1">
      <c r="A27" s="172" t="s">
        <v>122</v>
      </c>
    </row>
    <row r="28" spans="1:1">
      <c r="A28" s="108"/>
    </row>
    <row r="29" spans="1:1" ht="108">
      <c r="A29" s="164" t="s">
        <v>100</v>
      </c>
    </row>
    <row r="30" spans="1:1">
      <c r="A30" s="108"/>
    </row>
    <row r="31" spans="1:1">
      <c r="A31" s="108"/>
    </row>
    <row r="32" spans="1:1">
      <c r="A32" s="108"/>
    </row>
    <row r="33" spans="1:1">
      <c r="A33" s="108"/>
    </row>
    <row r="34" spans="1:1">
      <c r="A34" s="108"/>
    </row>
    <row r="35" spans="1:1">
      <c r="A35" s="108"/>
    </row>
  </sheetData>
  <hyperlinks>
    <hyperlink ref="A7" location="'1. Productivity'!A1" display="1. Interactive Table: How Changes in Productivity Growth Might Affect CBO's Baseline Budget Projections" xr:uid="{00000000-0004-0000-0000-000000000000}"/>
    <hyperlink ref="A8" location="'2. Labor Force'!A1" display="2. Interactive Table: How Changes in Labor Force Growth Might Affect  the Federal Budget" xr:uid="{00000000-0004-0000-0000-000001000000}"/>
    <hyperlink ref="A11" location="'5. Productivity_CBO'!A1" display="5. CBO's Illustrative Scenario: How Productivity Growth That Was 0.1 Percentage Point Slower Each Year Might Aﬀect the Federal Budget" xr:uid="{00000000-0004-0000-0000-000002000000}"/>
    <hyperlink ref="A9" location="'3. Interest Rates'!A1" display="3. Interactive Table: How Changes in Interest Rates Might Affect the Federal Budget" xr:uid="{00000000-0004-0000-0000-000003000000}"/>
    <hyperlink ref="A10" location="'4. Inflation and Interest'!A1" display="4. Interactive Table: How Changes in Inflation and Interest Rates Might Affect the Federal Budget" xr:uid="{00000000-0004-0000-0000-000004000000}"/>
    <hyperlink ref="A12" location="'6. Labor Force_CBO'!A1" display="6. CBO's Illustrative Scenario: How Labor Force Growth That Was 1.0 Percentage Point Slower Might Aﬀect the Federal Budget" xr:uid="{00000000-0004-0000-0000-000005000000}"/>
    <hyperlink ref="A13" location="'7. Interest Rates_CBO'!A1" display="7. CBO's Illustrative Scenario: How Interest Rates That Were 0.1 Percentage Point Higher Each Year Might Aﬀect the Federal Budget" xr:uid="{00000000-0004-0000-0000-000006000000}"/>
    <hyperlink ref="A14" location="'8. Inflation and Interest_CBO'!A1" display="8. CBO's Illustrative Scenario: How Inflation and Interest Rates That Were 0.1 Percentage Point Higher Each Year Than They Are in CBO's Forecast Might Aﬀect the Federal Budget" xr:uid="{00000000-0004-0000-0000-000007000000}"/>
    <hyperlink ref="A2" r:id="rId1" xr:uid="{4A2EB04C-59F9-4A40-AF3A-68B12A3731B1}"/>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7"/>
  <sheetViews>
    <sheetView tabSelected="1" zoomScaleNormal="100" workbookViewId="0">
      <selection activeCell="A20" sqref="A20"/>
    </sheetView>
  </sheetViews>
  <sheetFormatPr baseColWidth="10" defaultColWidth="12.5" defaultRowHeight="15" customHeight="1"/>
  <cols>
    <col min="1" max="1" width="54.5" style="4" customWidth="1"/>
    <col min="2" max="14" width="7.5" style="3" customWidth="1"/>
    <col min="15" max="15" width="7.83203125" style="3" customWidth="1"/>
    <col min="16" max="16384" width="12.5" style="4"/>
  </cols>
  <sheetData>
    <row r="1" spans="1:18" ht="15" customHeight="1">
      <c r="A1" s="2" t="s">
        <v>101</v>
      </c>
    </row>
    <row r="2" spans="1:18" ht="15" customHeight="1">
      <c r="A2" s="210" t="s">
        <v>119</v>
      </c>
    </row>
    <row r="3" spans="1:18" ht="15" customHeight="1">
      <c r="A3" s="165"/>
    </row>
    <row r="5" spans="1:18" s="6" customFormat="1" ht="60" customHeight="1">
      <c r="A5" s="213" t="s">
        <v>102</v>
      </c>
      <c r="B5" s="213"/>
      <c r="C5" s="213"/>
      <c r="D5" s="213"/>
      <c r="E5" s="213"/>
      <c r="F5" s="213"/>
      <c r="G5" s="213"/>
      <c r="H5" s="213"/>
      <c r="I5" s="213"/>
      <c r="J5" s="213"/>
      <c r="K5" s="213"/>
      <c r="L5" s="213"/>
      <c r="M5" s="213"/>
      <c r="N5" s="5"/>
      <c r="O5" s="5"/>
    </row>
    <row r="6" spans="1:18" s="6" customFormat="1" ht="15" customHeight="1">
      <c r="A6" s="7"/>
      <c r="B6" s="7"/>
      <c r="C6" s="7"/>
      <c r="D6" s="7"/>
      <c r="E6" s="7"/>
      <c r="F6" s="7"/>
      <c r="G6" s="7"/>
      <c r="H6" s="7"/>
      <c r="I6" s="7"/>
      <c r="J6" s="7"/>
      <c r="K6" s="7"/>
      <c r="L6" s="7"/>
      <c r="M6" s="7"/>
      <c r="N6" s="7"/>
      <c r="O6" s="7"/>
    </row>
    <row r="7" spans="1:18" ht="15" customHeight="1">
      <c r="A7" s="221" t="s">
        <v>12</v>
      </c>
      <c r="B7" s="221"/>
      <c r="C7" s="221"/>
      <c r="D7" s="221"/>
      <c r="E7" s="221"/>
      <c r="F7" s="221"/>
      <c r="G7" s="221"/>
      <c r="H7" s="221"/>
      <c r="I7" s="221"/>
      <c r="J7" s="221"/>
      <c r="K7" s="221"/>
      <c r="L7" s="221"/>
      <c r="M7" s="221"/>
      <c r="N7" s="8"/>
      <c r="O7" s="8"/>
    </row>
    <row r="8" spans="1:18" s="13" customFormat="1" ht="15" customHeight="1">
      <c r="A8" s="9"/>
      <c r="B8" s="10"/>
      <c r="C8" s="10"/>
      <c r="D8" s="10"/>
      <c r="E8" s="10"/>
      <c r="F8" s="10"/>
      <c r="G8" s="10"/>
      <c r="H8" s="10"/>
      <c r="I8" s="10"/>
      <c r="J8" s="10"/>
      <c r="K8" s="10"/>
      <c r="L8" s="10"/>
      <c r="M8" s="10"/>
      <c r="N8" s="11"/>
      <c r="O8" s="11"/>
      <c r="P8" s="12"/>
    </row>
    <row r="9" spans="1:18" s="13" customFormat="1" ht="15" customHeight="1">
      <c r="A9" s="14"/>
      <c r="B9" s="49">
        <v>2024</v>
      </c>
      <c r="C9" s="49">
        <v>2025</v>
      </c>
      <c r="D9" s="49">
        <v>2026</v>
      </c>
      <c r="E9" s="49">
        <v>2027</v>
      </c>
      <c r="F9" s="49">
        <v>2028</v>
      </c>
      <c r="G9" s="49">
        <v>2029</v>
      </c>
      <c r="H9" s="49">
        <v>2030</v>
      </c>
      <c r="I9" s="49">
        <v>2031</v>
      </c>
      <c r="J9" s="49">
        <v>2032</v>
      </c>
      <c r="K9" s="49">
        <v>2033</v>
      </c>
      <c r="L9" s="49">
        <v>2034</v>
      </c>
      <c r="M9" s="49">
        <v>2035</v>
      </c>
      <c r="N9" s="15"/>
      <c r="O9" s="15"/>
      <c r="P9" s="12"/>
    </row>
    <row r="10" spans="1:18" s="13" customFormat="1" ht="15" customHeight="1">
      <c r="A10" s="16"/>
      <c r="B10" s="17"/>
      <c r="C10" s="17"/>
      <c r="D10" s="17"/>
      <c r="E10" s="17"/>
      <c r="F10" s="17"/>
      <c r="G10" s="18"/>
      <c r="H10" s="18"/>
      <c r="I10" s="18"/>
      <c r="J10" s="18"/>
      <c r="K10" s="18"/>
      <c r="L10" s="18"/>
      <c r="M10" s="18"/>
      <c r="N10" s="19"/>
      <c r="O10" s="20"/>
      <c r="P10" s="20"/>
      <c r="Q10" s="20"/>
    </row>
    <row r="11" spans="1:18" ht="15" customHeight="1">
      <c r="A11" s="21"/>
      <c r="B11" s="22"/>
      <c r="C11" s="214" t="s">
        <v>57</v>
      </c>
      <c r="D11" s="214"/>
      <c r="E11" s="214"/>
      <c r="F11" s="214"/>
      <c r="G11" s="214"/>
      <c r="H11" s="214"/>
      <c r="I11" s="214"/>
      <c r="J11" s="214"/>
      <c r="K11" s="214"/>
      <c r="L11" s="214"/>
      <c r="M11" s="214"/>
      <c r="N11" s="22"/>
      <c r="O11" s="20"/>
      <c r="P11" s="20"/>
      <c r="Q11" s="20"/>
    </row>
    <row r="12" spans="1:18" ht="15" customHeight="1" thickBot="1">
      <c r="A12" s="21"/>
      <c r="B12" s="23"/>
      <c r="C12" s="24"/>
      <c r="D12" s="24"/>
      <c r="E12" s="24"/>
      <c r="F12" s="24"/>
      <c r="G12" s="24"/>
      <c r="H12" s="24"/>
      <c r="I12" s="24"/>
      <c r="J12" s="24"/>
      <c r="K12" s="24"/>
      <c r="L12" s="24"/>
      <c r="M12" s="24"/>
      <c r="N12" s="23"/>
      <c r="O12" s="219" t="s">
        <v>113</v>
      </c>
      <c r="P12" s="219"/>
      <c r="Q12" s="219"/>
      <c r="R12" s="219"/>
    </row>
    <row r="13" spans="1:18" s="28" customFormat="1" ht="48" customHeight="1" thickBot="1">
      <c r="A13" s="25" t="s">
        <v>103</v>
      </c>
      <c r="B13" s="26" t="s">
        <v>3</v>
      </c>
      <c r="C13" s="1">
        <v>0</v>
      </c>
      <c r="D13" s="1">
        <v>0.1</v>
      </c>
      <c r="E13" s="1">
        <v>0.2</v>
      </c>
      <c r="F13" s="1">
        <v>0.3</v>
      </c>
      <c r="G13" s="1">
        <v>0.4</v>
      </c>
      <c r="H13" s="1">
        <v>0.5</v>
      </c>
      <c r="I13" s="1">
        <v>0.5</v>
      </c>
      <c r="J13" s="1">
        <v>0.5</v>
      </c>
      <c r="K13" s="1">
        <v>0.5</v>
      </c>
      <c r="L13" s="1">
        <v>0.5</v>
      </c>
      <c r="M13" s="1">
        <v>0.5</v>
      </c>
      <c r="N13" s="27"/>
      <c r="O13" s="219"/>
      <c r="P13" s="219"/>
      <c r="Q13" s="219"/>
      <c r="R13" s="219"/>
    </row>
    <row r="14" spans="1:18" ht="15" customHeight="1">
      <c r="A14" s="29" t="str">
        <f>IF($A$19,"Please keep values in the range [-0.5, 0.5] percentage points per year.","")</f>
        <v/>
      </c>
      <c r="B14" s="30"/>
      <c r="C14" s="31"/>
      <c r="D14" s="31"/>
      <c r="E14" s="31"/>
      <c r="F14" s="31"/>
      <c r="G14" s="31"/>
      <c r="H14" s="31"/>
      <c r="I14" s="31"/>
      <c r="J14" s="31"/>
      <c r="K14" s="31"/>
      <c r="L14" s="31"/>
      <c r="M14" s="31"/>
      <c r="N14" s="32"/>
      <c r="O14" s="219"/>
      <c r="P14" s="219"/>
      <c r="Q14" s="219"/>
      <c r="R14" s="219"/>
    </row>
    <row r="15" spans="1:18" s="36" customFormat="1" ht="15" customHeight="1">
      <c r="A15" s="33" t="s">
        <v>58</v>
      </c>
      <c r="B15" s="30"/>
      <c r="C15" s="30"/>
      <c r="D15" s="30"/>
      <c r="E15" s="30"/>
      <c r="F15" s="30"/>
      <c r="G15" s="30"/>
      <c r="H15" s="30"/>
      <c r="I15" s="30"/>
      <c r="J15" s="30"/>
      <c r="K15" s="30"/>
      <c r="L15" s="30"/>
      <c r="M15" s="30"/>
      <c r="N15" s="34"/>
      <c r="O15" s="35"/>
      <c r="P15" s="35"/>
      <c r="Q15" s="35"/>
    </row>
    <row r="16" spans="1:18">
      <c r="A16" s="37" t="s">
        <v>92</v>
      </c>
      <c r="B16" s="199">
        <v>0.98</v>
      </c>
      <c r="C16" s="199">
        <v>0.98299999999999998</v>
      </c>
      <c r="D16" s="199">
        <v>1.0149999999999999</v>
      </c>
      <c r="E16" s="199">
        <v>1.0580000000000001</v>
      </c>
      <c r="F16" s="199">
        <v>1.105</v>
      </c>
      <c r="G16" s="199">
        <v>1.129</v>
      </c>
      <c r="H16" s="199">
        <v>1.1259999999999999</v>
      </c>
      <c r="I16" s="199">
        <v>1.125</v>
      </c>
      <c r="J16" s="199">
        <v>1.121</v>
      </c>
      <c r="K16" s="199">
        <v>1.1160000000000001</v>
      </c>
      <c r="L16" s="199">
        <v>1.1140000000000001</v>
      </c>
      <c r="M16" s="199">
        <v>1.1120000000000001</v>
      </c>
      <c r="N16" s="32"/>
      <c r="O16" s="20"/>
      <c r="P16" s="20"/>
      <c r="Q16" s="20"/>
    </row>
    <row r="17" spans="1:26">
      <c r="A17" s="39" t="s">
        <v>21</v>
      </c>
      <c r="B17" s="40">
        <f>IF($A$19,"n.a.",B16)</f>
        <v>0.98</v>
      </c>
      <c r="C17" s="40">
        <f>IF($A$19,"n.a.",C16+C13)</f>
        <v>0.98299999999999998</v>
      </c>
      <c r="D17" s="40">
        <f t="shared" ref="D17:L17" si="0">IF($A$19,"n.a.",D16+D13)</f>
        <v>1.115</v>
      </c>
      <c r="E17" s="40">
        <f t="shared" si="0"/>
        <v>1.258</v>
      </c>
      <c r="F17" s="40">
        <f t="shared" si="0"/>
        <v>1.405</v>
      </c>
      <c r="G17" s="40">
        <f t="shared" si="0"/>
        <v>1.5289999999999999</v>
      </c>
      <c r="H17" s="40">
        <f t="shared" si="0"/>
        <v>1.6259999999999999</v>
      </c>
      <c r="I17" s="40">
        <f t="shared" si="0"/>
        <v>1.625</v>
      </c>
      <c r="J17" s="40">
        <f t="shared" si="0"/>
        <v>1.621</v>
      </c>
      <c r="K17" s="40">
        <f t="shared" si="0"/>
        <v>1.6160000000000001</v>
      </c>
      <c r="L17" s="40">
        <f t="shared" si="0"/>
        <v>1.6140000000000001</v>
      </c>
      <c r="M17" s="40">
        <f>IF($A$19,"n.a.",M16+M13)</f>
        <v>1.6120000000000001</v>
      </c>
      <c r="N17" s="32"/>
      <c r="O17" s="20"/>
      <c r="P17" s="20"/>
      <c r="Q17" s="20"/>
    </row>
    <row r="18" spans="1:26" ht="15" customHeight="1">
      <c r="A18" s="41"/>
      <c r="B18" s="42"/>
      <c r="C18" s="42"/>
      <c r="D18" s="42"/>
      <c r="E18" s="42"/>
      <c r="F18" s="42"/>
      <c r="G18" s="42"/>
      <c r="H18" s="42"/>
      <c r="I18" s="42"/>
      <c r="J18" s="42"/>
      <c r="K18" s="42"/>
      <c r="L18" s="42"/>
      <c r="M18" s="42"/>
      <c r="N18" s="43"/>
      <c r="O18" s="20"/>
      <c r="P18" s="20"/>
      <c r="Q18" s="20"/>
    </row>
    <row r="19" spans="1:26" ht="15" customHeight="1">
      <c r="A19" s="44">
        <f>IF(OR(MAX(C13:M13)&gt;0.5,MIN(C13:M13)&lt;-0.5),1,0)</f>
        <v>0</v>
      </c>
      <c r="B19" s="32"/>
      <c r="C19" s="32"/>
      <c r="D19" s="32"/>
      <c r="E19" s="32"/>
      <c r="F19" s="32"/>
      <c r="G19" s="32"/>
      <c r="H19" s="32"/>
      <c r="I19" s="32"/>
      <c r="J19" s="32"/>
      <c r="K19" s="32"/>
      <c r="L19" s="32"/>
      <c r="M19" s="32"/>
      <c r="N19" s="32"/>
      <c r="O19" s="32"/>
      <c r="P19" s="28"/>
    </row>
    <row r="20" spans="1:26" ht="15" customHeight="1">
      <c r="A20" s="45"/>
      <c r="B20" s="46"/>
      <c r="C20" s="220"/>
      <c r="D20" s="220"/>
      <c r="E20" s="220"/>
      <c r="F20" s="220"/>
      <c r="G20" s="220"/>
      <c r="H20" s="220"/>
      <c r="I20" s="220"/>
      <c r="J20" s="220"/>
      <c r="K20" s="220"/>
      <c r="L20" s="220"/>
      <c r="M20" s="171"/>
      <c r="N20" s="46"/>
      <c r="O20" s="46"/>
    </row>
    <row r="21" spans="1:26" s="13" customFormat="1" ht="15" customHeight="1">
      <c r="A21" s="9"/>
      <c r="B21" s="47"/>
      <c r="C21" s="220" t="s">
        <v>60</v>
      </c>
      <c r="D21" s="220"/>
      <c r="E21" s="220"/>
      <c r="F21" s="220"/>
      <c r="G21" s="220"/>
      <c r="H21" s="220"/>
      <c r="I21" s="220"/>
      <c r="J21" s="220"/>
      <c r="K21" s="220"/>
      <c r="L21" s="220"/>
      <c r="M21" s="220"/>
      <c r="N21" s="218" t="s">
        <v>15</v>
      </c>
      <c r="O21" s="218"/>
    </row>
    <row r="22" spans="1:26" s="13" customFormat="1" ht="15" customHeight="1">
      <c r="A22" s="9"/>
      <c r="B22" s="47"/>
      <c r="C22" s="47"/>
      <c r="D22" s="47"/>
      <c r="E22" s="47"/>
      <c r="F22" s="47"/>
      <c r="G22" s="47"/>
      <c r="H22" s="47"/>
      <c r="I22" s="47"/>
      <c r="J22" s="47"/>
      <c r="K22" s="47"/>
      <c r="L22" s="47"/>
      <c r="M22" s="47"/>
      <c r="N22" s="48" t="s">
        <v>91</v>
      </c>
      <c r="O22" s="48" t="s">
        <v>91</v>
      </c>
    </row>
    <row r="23" spans="1:26" s="13" customFormat="1" ht="15" customHeight="1">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c r="A24" s="50" t="s">
        <v>59</v>
      </c>
      <c r="B24" s="181" t="s">
        <v>3</v>
      </c>
      <c r="C24" s="181">
        <f>IF($A$19,"n.a.",ROUND('5. Productivity_CBO'!C11/('5. Productivity_CBO'!C57-'5. Productivity_CBO'!C56)*(ROUND('1. Productivity'!C70,1)-ROUND('1. Productivity'!C69,1)),3))</f>
        <v>0</v>
      </c>
      <c r="D24" s="181">
        <f>IF($A$19,"n.a.",ROUND('5. Productivity_CBO'!D11/('5. Productivity_CBO'!D57-'5. Productivity_CBO'!D56)*(ROUND('1. Productivity'!D70,1)-ROUND('1. Productivity'!D69,1)),3))</f>
        <v>4.6920000000000002</v>
      </c>
      <c r="E24" s="181">
        <f>IF($A$19,"n.a.",ROUND('5. Productivity_CBO'!E11/('5. Productivity_CBO'!E57-'5. Productivity_CBO'!E56)*(ROUND('1. Productivity'!E70,1)-ROUND('1. Productivity'!E69,1)),3))</f>
        <v>16.899000000000001</v>
      </c>
      <c r="F24" s="181">
        <f>IF($A$19,"n.a.",ROUND('5. Productivity_CBO'!F11/('5. Productivity_CBO'!F57-'5. Productivity_CBO'!F56)*(ROUND('1. Productivity'!F70,1)-ROUND('1. Productivity'!F69,1)),3))</f>
        <v>37.689</v>
      </c>
      <c r="G24" s="181">
        <f>IF($A$19,"n.a.",ROUND('5. Productivity_CBO'!G11/('5. Productivity_CBO'!G57-'5. Productivity_CBO'!G56)*(ROUND('1. Productivity'!G70,1)-ROUND('1. Productivity'!G69,1)),3))</f>
        <v>68.355000000000004</v>
      </c>
      <c r="H24" s="181">
        <f>IF($A$19,"n.a.",ROUND('5. Productivity_CBO'!H11/('5. Productivity_CBO'!H57-'5. Productivity_CBO'!H56)*(ROUND('1. Productivity'!H70,1)-ROUND('1. Productivity'!H69,1)),3))</f>
        <v>110.40300000000001</v>
      </c>
      <c r="I24" s="181">
        <f>IF($A$19,"n.a.",ROUND('5. Productivity_CBO'!I11/('5. Productivity_CBO'!I57-'5. Productivity_CBO'!I56)*(ROUND('1. Productivity'!I70,1)-ROUND('1. Productivity'!I69,1)),3))</f>
        <v>159.16900000000001</v>
      </c>
      <c r="J24" s="181">
        <f>IF($A$19,"n.a.",ROUND('5. Productivity_CBO'!J11/('5. Productivity_CBO'!J57-'5. Productivity_CBO'!J56)*(ROUND('1. Productivity'!J70,1)-ROUND('1. Productivity'!J69,1)),3))</f>
        <v>213.49799999999999</v>
      </c>
      <c r="K24" s="181">
        <f>IF($A$19,"n.a.",ROUND('5. Productivity_CBO'!K11/('5. Productivity_CBO'!K57-'5. Productivity_CBO'!K56)*(ROUND('1. Productivity'!K70,1)-ROUND('1. Productivity'!K69,1)),3))</f>
        <v>273.26</v>
      </c>
      <c r="L24" s="181">
        <f>IF($A$19,"n.a.",ROUND('5. Productivity_CBO'!L11/('5. Productivity_CBO'!L57-'5. Productivity_CBO'!L56)*(ROUND('1. Productivity'!L70,1)-ROUND('1. Productivity'!L69,1)),3))</f>
        <v>338.73399999999998</v>
      </c>
      <c r="M24" s="181">
        <f>IF($A$19,"n.a.",ROUND('5. Productivity_CBO'!M11/('5. Productivity_CBO'!M57-'5. Productivity_CBO'!M56)*(ROUND('1. Productivity'!M70,1)-ROUND('1. Productivity'!M69,1)),3))</f>
        <v>411.03800000000001</v>
      </c>
      <c r="N24" s="51">
        <f>IF($A$19,"n.a.",SUM(D24:H24))</f>
        <v>238.03800000000001</v>
      </c>
      <c r="O24" s="51">
        <f>IF($A$19,"n.a.",SUM(D24:M24))</f>
        <v>1633.7369999999999</v>
      </c>
    </row>
    <row r="25" spans="1:26" ht="15" customHeight="1">
      <c r="A25" s="50"/>
      <c r="B25" s="181"/>
      <c r="C25" s="181"/>
      <c r="D25" s="181"/>
      <c r="E25" s="181"/>
      <c r="F25" s="181"/>
      <c r="G25" s="181"/>
      <c r="H25" s="181"/>
      <c r="I25" s="181"/>
      <c r="J25" s="181"/>
      <c r="K25" s="181"/>
      <c r="L25" s="181"/>
      <c r="M25" s="181"/>
      <c r="N25" s="51"/>
      <c r="O25" s="51"/>
    </row>
    <row r="26" spans="1:26" ht="15" customHeight="1">
      <c r="A26" s="50" t="s">
        <v>61</v>
      </c>
      <c r="B26" s="51"/>
      <c r="C26" s="51"/>
      <c r="D26" s="51"/>
      <c r="E26" s="51"/>
      <c r="F26" s="51"/>
      <c r="G26" s="51"/>
      <c r="H26" s="51"/>
      <c r="I26" s="51"/>
      <c r="J26" s="51"/>
      <c r="K26" s="51"/>
      <c r="L26" s="51"/>
      <c r="M26" s="51"/>
      <c r="N26" s="52"/>
      <c r="O26" s="52"/>
    </row>
    <row r="27" spans="1:26" ht="15" customHeight="1">
      <c r="A27" s="53" t="s">
        <v>0</v>
      </c>
      <c r="B27" s="181" t="s">
        <v>3</v>
      </c>
      <c r="C27" s="181">
        <f>IF($A$19,"n.a.",ROUND('5. Productivity_CBO'!C14/('5. Productivity_CBO'!C57-'5. Productivity_CBO'!C56)*(ROUND('1. Productivity'!C70,1)-ROUND('1. Productivity'!C69,1)),3))</f>
        <v>0</v>
      </c>
      <c r="D27" s="181">
        <f>IF($A$19,"n.a.",ROUND('5. Productivity_CBO'!D14/('5. Productivity_CBO'!D57-'5. Productivity_CBO'!D56)*(ROUND('1. Productivity'!D70,1)-ROUND('1. Productivity'!D69,1)),3))</f>
        <v>0.20699999999999999</v>
      </c>
      <c r="E27" s="181">
        <f>IF($A$19,"n.a.",ROUND('5. Productivity_CBO'!E14/('5. Productivity_CBO'!E57-'5. Productivity_CBO'!E56)*(ROUND('1. Productivity'!E70,1)-ROUND('1. Productivity'!E69,1)),3))</f>
        <v>0.94899999999999995</v>
      </c>
      <c r="F27" s="181">
        <f>IF($A$19,"n.a.",ROUND('5. Productivity_CBO'!F14/('5. Productivity_CBO'!F57-'5. Productivity_CBO'!F56)*(ROUND('1. Productivity'!F70,1)-ROUND('1. Productivity'!F69,1)),3))</f>
        <v>2.6040000000000001</v>
      </c>
      <c r="G27" s="181">
        <f>IF($A$19,"n.a.",ROUND('5. Productivity_CBO'!G14/('5. Productivity_CBO'!G57-'5. Productivity_CBO'!G56)*(ROUND('1. Productivity'!G70,1)-ROUND('1. Productivity'!G69,1)),3))</f>
        <v>4.5789999999999997</v>
      </c>
      <c r="H27" s="181">
        <f>IF($A$19,"n.a.",ROUND('5. Productivity_CBO'!H14/('5. Productivity_CBO'!H57-'5. Productivity_CBO'!H56)*(ROUND('1. Productivity'!H70,1)-ROUND('1. Productivity'!H69,1)),3))</f>
        <v>7.7119999999999997</v>
      </c>
      <c r="I27" s="181">
        <f>IF($A$19,"n.a.",ROUND('5. Productivity_CBO'!I14/('5. Productivity_CBO'!I57-'5. Productivity_CBO'!I56)*(ROUND('1. Productivity'!I70,1)-ROUND('1. Productivity'!I69,1)),3))</f>
        <v>11.444000000000001</v>
      </c>
      <c r="J27" s="181">
        <f>IF($A$19,"n.a.",ROUND('5. Productivity_CBO'!J14/('5. Productivity_CBO'!J57-'5. Productivity_CBO'!J56)*(ROUND('1. Productivity'!J70,1)-ROUND('1. Productivity'!J69,1)),3))</f>
        <v>15.949</v>
      </c>
      <c r="K27" s="181">
        <f>IF($A$19,"n.a.",ROUND('5. Productivity_CBO'!K14/('5. Productivity_CBO'!K57-'5. Productivity_CBO'!K56)*(ROUND('1. Productivity'!K70,1)-ROUND('1. Productivity'!K69,1)),3))</f>
        <v>21.516999999999999</v>
      </c>
      <c r="L27" s="181">
        <f>IF($A$19,"n.a.",ROUND('5. Productivity_CBO'!L14/('5. Productivity_CBO'!L57-'5. Productivity_CBO'!L56)*(ROUND('1. Productivity'!L70,1)-ROUND('1. Productivity'!L69,1)),3))</f>
        <v>27.33</v>
      </c>
      <c r="M27" s="181">
        <f>IF($A$19,"n.a.",ROUND('5. Productivity_CBO'!M14/('5. Productivity_CBO'!M57-'5. Productivity_CBO'!M56)*(ROUND('1. Productivity'!M70,1)-ROUND('1. Productivity'!M69,1)),3))</f>
        <v>34.417000000000002</v>
      </c>
      <c r="N27" s="51">
        <f>IF($A$19,"n.a.",SUM(D27:H27))</f>
        <v>16.050999999999998</v>
      </c>
      <c r="O27" s="51">
        <f>IF($A$19,"n.a.",SUM(D27:M27))</f>
        <v>126.708</v>
      </c>
    </row>
    <row r="28" spans="1:26" ht="15" customHeight="1">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c r="A29" s="53" t="s">
        <v>49</v>
      </c>
      <c r="B29" s="51"/>
      <c r="C29" s="51"/>
      <c r="D29" s="51"/>
      <c r="E29" s="51"/>
      <c r="F29" s="51"/>
      <c r="G29" s="51"/>
      <c r="H29" s="51"/>
      <c r="I29" s="51"/>
      <c r="J29" s="51"/>
      <c r="K29" s="51"/>
      <c r="L29" s="51"/>
      <c r="M29" s="51"/>
      <c r="N29" s="51"/>
      <c r="O29" s="51"/>
    </row>
    <row r="30" spans="1:26" ht="15" customHeight="1">
      <c r="A30" s="55" t="s">
        <v>51</v>
      </c>
      <c r="B30" s="181" t="s">
        <v>3</v>
      </c>
      <c r="C30" s="181" cm="1">
        <f t="array" ref="C30">IF($A$19,"n.a.",ROUND(SUMPRODUCT(TRANSPOSE($C117:$M117),C119:C129),3)+ROUND(C131*C117/('5. Productivity_CBO'!C63-'5. Productivity_CBO'!C62),3))</f>
        <v>0</v>
      </c>
      <c r="D30" s="181" cm="1">
        <f t="array" ref="D30">IF($A$19,"n.a.",ROUND(SUMPRODUCT(TRANSPOSE($C117:$M117),D119:D129),3)+ROUND(D131*D117/('5. Productivity_CBO'!D63-'5. Productivity_CBO'!D62),3))</f>
        <v>0.72300000000000009</v>
      </c>
      <c r="E30" s="181" cm="1">
        <f t="array" ref="E30">IF($A$19,"n.a.",ROUND(SUMPRODUCT(TRANSPOSE($C117:$M117),E119:E129),3)+ROUND(E131*E117/('5. Productivity_CBO'!E63-'5. Productivity_CBO'!E62),3))</f>
        <v>3.246</v>
      </c>
      <c r="F30" s="181" cm="1">
        <f t="array" ref="F30">IF($A$19,"n.a.",ROUND(SUMPRODUCT(TRANSPOSE($C117:$M117),F119:F129),3)+ROUND(F131*F117/('5. Productivity_CBO'!F63-'5. Productivity_CBO'!F62),3))</f>
        <v>8.33</v>
      </c>
      <c r="G30" s="181" cm="1">
        <f t="array" ref="G30">IF($A$19,"n.a.",ROUND(SUMPRODUCT(TRANSPOSE($C117:$M117),G119:G129),3)+ROUND(G131*G117/('5. Productivity_CBO'!G63-'5. Productivity_CBO'!G62),3))</f>
        <v>16.641999999999999</v>
      </c>
      <c r="H30" s="181" cm="1">
        <f t="array" ref="H30">IF($A$19,"n.a.",ROUND(SUMPRODUCT(TRANSPOSE($C117:$M117),H119:H129),3)+ROUND(H131*H117/('5. Productivity_CBO'!H63-'5. Productivity_CBO'!H62),3))</f>
        <v>29.165000000000003</v>
      </c>
      <c r="I30" s="181" cm="1">
        <f t="array" ref="I30">IF($A$19,"n.a.",ROUND(SUMPRODUCT(TRANSPOSE($C117:$M117),I119:I129),3)+ROUND(I131*I117/('5. Productivity_CBO'!I63-'5. Productivity_CBO'!I62),3))</f>
        <v>45.488</v>
      </c>
      <c r="J30" s="181" cm="1">
        <f t="array" ref="J30">IF($A$19,"n.a.",ROUND(SUMPRODUCT(TRANSPOSE($C117:$M117),J119:J129),3)+ROUND(J131*J117/('5. Productivity_CBO'!J63-'5. Productivity_CBO'!J62),3))</f>
        <v>65.075999999999993</v>
      </c>
      <c r="K30" s="181" cm="1">
        <f t="array" ref="K30">IF($A$19,"n.a.",ROUND(SUMPRODUCT(TRANSPOSE($C117:$M117),K119:K129),3)+ROUND(K131*K117/('5. Productivity_CBO'!K63-'5. Productivity_CBO'!K62),3))</f>
        <v>86.870999999999995</v>
      </c>
      <c r="L30" s="181" cm="1">
        <f t="array" ref="L30">IF($A$19,"n.a.",ROUND(SUMPRODUCT(TRANSPOSE($C117:$M117),L119:L129),3)+ROUND(L131*L117/('5. Productivity_CBO'!L63-'5. Productivity_CBO'!L62),3))</f>
        <v>111.54900000000001</v>
      </c>
      <c r="M30" s="181" cm="1">
        <f t="array" ref="M30">IF($A$19,"n.a.",ROUND(SUMPRODUCT(TRANSPOSE($C117:$M117),M119:M129),3)+ROUND(M131*M117/('5. Productivity_CBO'!M63-'5. Productivity_CBO'!M62),3))</f>
        <v>138.07</v>
      </c>
      <c r="N30" s="51">
        <f>IF($A$19,"n.a.",SUM(D30:H30))</f>
        <v>58.106000000000002</v>
      </c>
      <c r="O30" s="51">
        <f>IF($A$19,"n.a.",SUM(D30:M30))</f>
        <v>505.16</v>
      </c>
    </row>
    <row r="31" spans="1:26" ht="15" customHeight="1">
      <c r="A31" s="55" t="s">
        <v>7</v>
      </c>
      <c r="B31" s="181" t="s">
        <v>3</v>
      </c>
      <c r="C31" s="181" cm="1">
        <f t="array" ref="C31">IF($A$19,"n.a.",ROUND(SUMPRODUCT($C133:$M133,TRANSPOSE(C135:C145)),3) + ROUND(C147*(-C133)/('5. Productivity_CBO'!C24+'5. Productivity_CBO'!C18),3))</f>
        <v>0</v>
      </c>
      <c r="D31" s="181" cm="1">
        <f t="array" ref="D31">IF($A$19,"n.a.",ROUND(SUMPRODUCT($C133:$M133,TRANSPOSE(D135:D145)),3) + ROUND(D147*(-D133)/('5. Productivity_CBO'!D24+'5. Productivity_CBO'!D18),3))</f>
        <v>-6.9000000000000006E-2</v>
      </c>
      <c r="E31" s="181" cm="1">
        <f t="array" ref="E31">IF($A$19,"n.a.",ROUND(SUMPRODUCT($C133:$M133,TRANSPOSE(E135:E145)),3) + ROUND(E147*(-E133)/('5. Productivity_CBO'!E24+'5. Productivity_CBO'!E18),3))</f>
        <v>-0.36599999999999999</v>
      </c>
      <c r="F31" s="181" cm="1">
        <f t="array" ref="F31">IF($A$19,"n.a.",ROUND(SUMPRODUCT($C133:$M133,TRANSPOSE(F135:F145)),3) + ROUND(F147*(-F133)/('5. Productivity_CBO'!F24+'5. Productivity_CBO'!F18),3))</f>
        <v>-1.0650000000000002</v>
      </c>
      <c r="G31" s="181" cm="1">
        <f t="array" ref="G31">IF($A$19,"n.a.",ROUND(SUMPRODUCT($C133:$M133,TRANSPOSE(G135:G145)),3) + ROUND(G147*(-G133)/('5. Productivity_CBO'!G24+'5. Productivity_CBO'!G18),3))</f>
        <v>-2.367</v>
      </c>
      <c r="H31" s="181" cm="1">
        <f t="array" ref="H31">IF($A$19,"n.a.",ROUND(SUMPRODUCT($C133:$M133,TRANSPOSE(H135:H145)),3) + ROUND(H147*(-H133)/('5. Productivity_CBO'!H24+'5. Productivity_CBO'!H18),3))</f>
        <v>-4.4789999999999992</v>
      </c>
      <c r="I31" s="181" cm="1">
        <f t="array" ref="I31">IF($A$19,"n.a.",ROUND(SUMPRODUCT($C133:$M133,TRANSPOSE(I135:I145)),3) + ROUND(I147*(-I133)/('5. Productivity_CBO'!I24+'5. Productivity_CBO'!I18),3))</f>
        <v>-7.5350000000000001</v>
      </c>
      <c r="J31" s="181" cm="1">
        <f t="array" ref="J31">IF($A$19,"n.a.",ROUND(SUMPRODUCT($C133:$M133,TRANSPOSE(J135:J145)),3) + ROUND(J147*(-J133)/('5. Productivity_CBO'!J24+'5. Productivity_CBO'!J18),3))</f>
        <v>-11.643000000000001</v>
      </c>
      <c r="K31" s="181" cm="1">
        <f t="array" ref="K31">IF($A$19,"n.a.",ROUND(SUMPRODUCT($C133:$M133,TRANSPOSE(K135:K145)),3) + ROUND(K147*(-K133)/('5. Productivity_CBO'!K24+'5. Productivity_CBO'!K18),3))</f>
        <v>-16.853000000000002</v>
      </c>
      <c r="L31" s="181" cm="1">
        <f t="array" ref="L31">IF($A$19,"n.a.",ROUND(SUMPRODUCT($C133:$M133,TRANSPOSE(L135:L145)),3) + ROUND(L147*(-L133)/('5. Productivity_CBO'!L24+'5. Productivity_CBO'!L18),3))</f>
        <v>-23.315000000000001</v>
      </c>
      <c r="M31" s="181" cm="1">
        <f t="array" ref="M31">IF($A$19,"n.a.",ROUND(SUMPRODUCT($C133:$M133,TRANSPOSE(M135:M145)),3) + ROUND(M147*(-M133)/('5. Productivity_CBO'!M24+'5. Productivity_CBO'!M18),3))</f>
        <v>-31.031999999999996</v>
      </c>
      <c r="N31" s="51">
        <f>IF($A$19,"n.a.",SUM(D31:H31))</f>
        <v>-8.3460000000000001</v>
      </c>
      <c r="O31" s="51">
        <f>IF($A$19,"n.a.",SUM(D31:M31))</f>
        <v>-98.724000000000004</v>
      </c>
    </row>
    <row r="32" spans="1:26" ht="3" customHeight="1">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c r="A33" s="158" t="s">
        <v>50</v>
      </c>
      <c r="B33" s="181" t="s">
        <v>3</v>
      </c>
      <c r="C33" s="51">
        <f>IF($A$19,"n.a.",C30+C31)</f>
        <v>0</v>
      </c>
      <c r="D33" s="51">
        <f>IF($A$19,"n.a.",D30+D31)</f>
        <v>0.65400000000000014</v>
      </c>
      <c r="E33" s="51">
        <f t="shared" ref="E33:L33" si="2">IF($A$19,"n.a.",E30+E31)</f>
        <v>2.88</v>
      </c>
      <c r="F33" s="51">
        <f t="shared" si="2"/>
        <v>7.2649999999999997</v>
      </c>
      <c r="G33" s="51">
        <f t="shared" si="2"/>
        <v>14.274999999999999</v>
      </c>
      <c r="H33" s="51">
        <f t="shared" si="2"/>
        <v>24.686000000000003</v>
      </c>
      <c r="I33" s="51">
        <f t="shared" si="2"/>
        <v>37.953000000000003</v>
      </c>
      <c r="J33" s="51">
        <f t="shared" si="2"/>
        <v>53.432999999999993</v>
      </c>
      <c r="K33" s="51">
        <f t="shared" si="2"/>
        <v>70.018000000000001</v>
      </c>
      <c r="L33" s="51">
        <f t="shared" si="2"/>
        <v>88.234000000000009</v>
      </c>
      <c r="M33" s="51">
        <f>IF($A$19,"n.a.",M30+M31)</f>
        <v>107.038</v>
      </c>
      <c r="N33" s="51">
        <f>IF($A$19,"n.a.",SUM(D33:H33))</f>
        <v>49.760000000000005</v>
      </c>
      <c r="O33" s="51">
        <f>IF($A$19,"n.a.",SUM(D33:M33))</f>
        <v>406.43600000000004</v>
      </c>
    </row>
    <row r="34" spans="1:16" ht="15" customHeight="1">
      <c r="A34" s="56"/>
      <c r="B34" s="181"/>
      <c r="C34" s="51"/>
      <c r="D34" s="51"/>
      <c r="E34" s="51"/>
      <c r="F34" s="51"/>
      <c r="G34" s="51"/>
      <c r="H34" s="51"/>
      <c r="I34" s="51"/>
      <c r="J34" s="51"/>
      <c r="K34" s="51"/>
      <c r="L34" s="51"/>
      <c r="M34" s="51"/>
      <c r="N34" s="51"/>
      <c r="O34" s="51"/>
    </row>
    <row r="35" spans="1:16" ht="15" customHeight="1">
      <c r="A35" s="57" t="s">
        <v>62</v>
      </c>
      <c r="B35" s="181" t="s">
        <v>3</v>
      </c>
      <c r="C35" s="51">
        <f>IF($A$19,"n.a.",C27+C28+C33)</f>
        <v>0</v>
      </c>
      <c r="D35" s="51">
        <f>IF($A$19,"n.a.",D27+D28+D33)</f>
        <v>0.8610000000000001</v>
      </c>
      <c r="E35" s="51">
        <f>IF($A$19,"n.a.",E27+E28+E33)</f>
        <v>3.8289999999999997</v>
      </c>
      <c r="F35" s="51">
        <f>IF($A$19,"n.a.",F27+F28+F33)</f>
        <v>9.8689999999999998</v>
      </c>
      <c r="G35" s="51">
        <f t="shared" ref="G35:K35" si="3">IF($A$19,"n.a.",G27+G28+G33)</f>
        <v>18.853999999999999</v>
      </c>
      <c r="H35" s="51">
        <f t="shared" si="3"/>
        <v>32.398000000000003</v>
      </c>
      <c r="I35" s="51">
        <f t="shared" si="3"/>
        <v>49.397000000000006</v>
      </c>
      <c r="J35" s="51">
        <f t="shared" si="3"/>
        <v>69.381999999999991</v>
      </c>
      <c r="K35" s="51">
        <f t="shared" si="3"/>
        <v>91.534999999999997</v>
      </c>
      <c r="L35" s="51">
        <f>IF($A$19,"n.a.",L27+L28+L33)</f>
        <v>115.56400000000001</v>
      </c>
      <c r="M35" s="51">
        <f>IF($A$19,"n.a.",M27+M28+M33)</f>
        <v>141.45499999999998</v>
      </c>
      <c r="N35" s="51">
        <f>IF($A$19,"n.a.",SUM(D35:H35))</f>
        <v>65.811000000000007</v>
      </c>
      <c r="O35" s="51">
        <f>IF($A$19,"n.a.",SUM(D35:M35))</f>
        <v>533.14400000000001</v>
      </c>
      <c r="P35" s="58"/>
    </row>
    <row r="36" spans="1:16" ht="15" customHeight="1">
      <c r="A36" s="50"/>
      <c r="B36" s="51"/>
      <c r="C36" s="51"/>
      <c r="D36" s="51"/>
      <c r="E36" s="51"/>
      <c r="F36" s="51"/>
      <c r="G36" s="51"/>
      <c r="H36" s="51"/>
      <c r="I36" s="51"/>
      <c r="J36" s="51"/>
      <c r="K36" s="51"/>
      <c r="L36" s="51"/>
      <c r="M36" s="51"/>
      <c r="N36" s="52"/>
      <c r="O36" s="52"/>
    </row>
    <row r="37" spans="1:16" ht="30" customHeight="1">
      <c r="A37" s="59" t="s">
        <v>104</v>
      </c>
      <c r="B37" s="60" t="s">
        <v>3</v>
      </c>
      <c r="C37" s="52">
        <f t="shared" ref="C37:L37" si="4">IF($A$19,"n.a.",C24-C35)</f>
        <v>0</v>
      </c>
      <c r="D37" s="52">
        <f t="shared" si="4"/>
        <v>3.831</v>
      </c>
      <c r="E37" s="52">
        <f t="shared" si="4"/>
        <v>13.07</v>
      </c>
      <c r="F37" s="52">
        <f t="shared" si="4"/>
        <v>27.82</v>
      </c>
      <c r="G37" s="52">
        <f t="shared" si="4"/>
        <v>49.501000000000005</v>
      </c>
      <c r="H37" s="52">
        <f t="shared" si="4"/>
        <v>78.004999999999995</v>
      </c>
      <c r="I37" s="52">
        <f t="shared" si="4"/>
        <v>109.77200000000001</v>
      </c>
      <c r="J37" s="52">
        <f t="shared" si="4"/>
        <v>144.11599999999999</v>
      </c>
      <c r="K37" s="52">
        <f t="shared" si="4"/>
        <v>181.72499999999999</v>
      </c>
      <c r="L37" s="52">
        <f t="shared" si="4"/>
        <v>223.16999999999996</v>
      </c>
      <c r="M37" s="52">
        <f>IF($A$19,"n.a.",M24-M35)</f>
        <v>269.58300000000003</v>
      </c>
      <c r="N37" s="52">
        <f>IF($A$19,"n.a.",SUM(D37:H37))</f>
        <v>172.227</v>
      </c>
      <c r="O37" s="52">
        <f>IF($A$19,"n.a.",SUM(D37:M37))</f>
        <v>1100.5930000000001</v>
      </c>
    </row>
    <row r="38" spans="1:16" s="63" customFormat="1" ht="15" customHeight="1">
      <c r="A38" s="61"/>
      <c r="B38" s="62"/>
      <c r="C38" s="62"/>
      <c r="D38" s="62"/>
      <c r="E38" s="62"/>
      <c r="F38" s="62"/>
      <c r="G38" s="62"/>
      <c r="H38" s="62"/>
      <c r="I38" s="62"/>
      <c r="J38" s="62"/>
      <c r="K38" s="62"/>
      <c r="L38" s="62"/>
      <c r="M38" s="62"/>
      <c r="N38" s="62"/>
      <c r="O38" s="62"/>
    </row>
    <row r="39" spans="1:16" s="63" customFormat="1" ht="15" customHeight="1">
      <c r="A39" s="64" t="s">
        <v>64</v>
      </c>
      <c r="B39" s="62"/>
      <c r="C39" s="65"/>
      <c r="D39" s="65"/>
      <c r="E39" s="65"/>
      <c r="F39" s="65"/>
      <c r="G39" s="65"/>
      <c r="H39" s="65"/>
      <c r="I39" s="65"/>
      <c r="J39" s="65"/>
      <c r="K39" s="65"/>
      <c r="L39" s="65"/>
      <c r="M39" s="65"/>
      <c r="N39" s="62"/>
      <c r="O39" s="62"/>
    </row>
    <row r="40" spans="1:16" s="63" customFormat="1" ht="15" customHeight="1">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63" customFormat="1" ht="15" customHeight="1">
      <c r="A41" s="67" t="s">
        <v>21</v>
      </c>
      <c r="B41" s="68">
        <f>IF($A$19,"n.a.",B40)</f>
        <v>-1832.3809999999994</v>
      </c>
      <c r="C41" s="69">
        <f>IF($A$19,"n.a.",C40+C37)</f>
        <v>-1865.2510000000002</v>
      </c>
      <c r="D41" s="69">
        <f>IF($A$19,"n.a.",D40+D37)</f>
        <v>-1709.4269999999999</v>
      </c>
      <c r="E41" s="69">
        <f>IF($A$19,"n.a.",E40+E37)</f>
        <v>-1673.8720000000001</v>
      </c>
      <c r="F41" s="69">
        <f t="shared" ref="F41:L41" si="5">IF($A$19,"n.a.",F40+F37)</f>
        <v>-1882.9560000000008</v>
      </c>
      <c r="G41" s="69">
        <f t="shared" si="5"/>
        <v>-1888.7669999999991</v>
      </c>
      <c r="H41" s="69">
        <f t="shared" si="5"/>
        <v>-2061.7160000000013</v>
      </c>
      <c r="I41" s="69">
        <f t="shared" si="5"/>
        <v>-2123.0139999999992</v>
      </c>
      <c r="J41" s="69">
        <f t="shared" si="5"/>
        <v>-2226.4660000000003</v>
      </c>
      <c r="K41" s="69">
        <f t="shared" si="5"/>
        <v>-2455.5739999999983</v>
      </c>
      <c r="L41" s="69">
        <f t="shared" si="5"/>
        <v>-2374.079999999999</v>
      </c>
      <c r="M41" s="69">
        <f>IF($A$19,"n.a.",M40+M37)</f>
        <v>-2261.7949999999987</v>
      </c>
      <c r="N41" s="51">
        <f>IF($A$19,"n.a.",SUM(D41:H41))</f>
        <v>-9216.7380000000012</v>
      </c>
      <c r="O41" s="51">
        <f>IF($A$19,"n.a.",SUM(D41:M41))</f>
        <v>-20657.666999999998</v>
      </c>
    </row>
    <row r="42" spans="1:16" s="63" customFormat="1" ht="15" customHeight="1">
      <c r="A42" s="61"/>
      <c r="B42" s="62"/>
      <c r="C42" s="62"/>
      <c r="D42" s="62"/>
      <c r="E42" s="62"/>
      <c r="F42" s="62"/>
      <c r="G42" s="62"/>
      <c r="H42" s="62"/>
      <c r="I42" s="62"/>
      <c r="J42" s="62"/>
      <c r="K42" s="62"/>
      <c r="L42" s="62"/>
      <c r="M42" s="62"/>
      <c r="N42" s="62"/>
      <c r="O42" s="62"/>
    </row>
    <row r="43" spans="1:16" s="63" customFormat="1" ht="15" customHeight="1">
      <c r="A43" s="64" t="s">
        <v>65</v>
      </c>
      <c r="B43" s="62"/>
      <c r="C43" s="65"/>
      <c r="D43" s="65"/>
      <c r="E43" s="65"/>
      <c r="F43" s="65"/>
      <c r="G43" s="65"/>
      <c r="H43" s="65"/>
      <c r="I43" s="65"/>
      <c r="J43" s="65"/>
      <c r="K43" s="65"/>
      <c r="L43" s="65"/>
      <c r="M43" s="65"/>
      <c r="N43" s="62"/>
      <c r="O43" s="62"/>
    </row>
    <row r="44" spans="1:16" s="63" customFormat="1" ht="15" customHeight="1">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c r="A45" s="67" t="s">
        <v>21</v>
      </c>
      <c r="B45" s="68">
        <f>IF($A$19,"n.a.",B44)</f>
        <v>28199.312999999998</v>
      </c>
      <c r="C45" s="69">
        <f>IF($A$19,"n.a.",C44-SUM($C37:C37))</f>
        <v>30102.749</v>
      </c>
      <c r="D45" s="69">
        <f>IF($A$19,"n.a.",D44-SUM($C37:D37))</f>
        <v>31878.802000000003</v>
      </c>
      <c r="E45" s="69">
        <f>IF($A$19,"n.a.",E44-SUM($C37:E37))</f>
        <v>33619.204000000005</v>
      </c>
      <c r="F45" s="69">
        <f>IF($A$19,"n.a.",F44-SUM($C37:F37))</f>
        <v>35555.919000000002</v>
      </c>
      <c r="G45" s="69">
        <f>IF($A$19,"n.a.",G44-SUM($C37:G37))</f>
        <v>37486.277999999998</v>
      </c>
      <c r="H45" s="69">
        <f>IF($A$19,"n.a.",H44-SUM($C37:H37))</f>
        <v>39575.423999999999</v>
      </c>
      <c r="I45" s="69">
        <f>IF($A$19,"n.a.",I44-SUM($C37:I37))</f>
        <v>41710.385999999999</v>
      </c>
      <c r="J45" s="69">
        <f>IF($A$19,"n.a.",J44-SUM($C37:J37))</f>
        <v>43945.64</v>
      </c>
      <c r="K45" s="69">
        <f>IF($A$19,"n.a.",K44-SUM($C37:K37))</f>
        <v>46377.189000000006</v>
      </c>
      <c r="L45" s="69">
        <f>IF($A$19,"n.a.",L44-SUM($C37:L37))</f>
        <v>48724.493999999999</v>
      </c>
      <c r="M45" s="69">
        <f>IF($A$19,"n.a.",M44-SUM($C37:M37))</f>
        <v>50955.273000000001</v>
      </c>
      <c r="N45" s="51" t="s">
        <v>3</v>
      </c>
      <c r="O45" s="51" t="s">
        <v>3</v>
      </c>
    </row>
    <row r="46" spans="1:16" s="63" customFormat="1" ht="15" customHeight="1">
      <c r="A46" s="61"/>
      <c r="B46" s="62"/>
      <c r="C46" s="62"/>
      <c r="D46" s="62"/>
      <c r="E46" s="62"/>
      <c r="F46" s="62"/>
      <c r="G46" s="62"/>
      <c r="H46" s="62"/>
      <c r="I46" s="62"/>
      <c r="J46" s="62"/>
      <c r="K46" s="62"/>
      <c r="L46" s="62"/>
      <c r="M46" s="62"/>
      <c r="N46" s="62"/>
      <c r="O46" s="62"/>
    </row>
    <row r="47" spans="1:16" s="63" customFormat="1" ht="15" customHeight="1">
      <c r="A47" s="64" t="s">
        <v>66</v>
      </c>
      <c r="B47" s="62"/>
      <c r="C47" s="65"/>
      <c r="D47" s="65"/>
      <c r="E47" s="65"/>
      <c r="F47" s="65"/>
      <c r="G47" s="65"/>
      <c r="H47" s="65"/>
      <c r="I47" s="65"/>
      <c r="J47" s="65"/>
      <c r="K47" s="65"/>
      <c r="L47" s="65"/>
      <c r="M47" s="65"/>
      <c r="N47" s="62"/>
      <c r="O47" s="62"/>
    </row>
    <row r="48" spans="1:16" s="63" customFormat="1" ht="15" customHeight="1">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c r="A49" s="67" t="s">
        <v>21</v>
      </c>
      <c r="B49" s="82">
        <f>IF($A$19,"n.a.",B48)</f>
        <v>-6.356215750736907</v>
      </c>
      <c r="C49" s="173">
        <f>IF($A$19,"n.a.",ROUND(C41/C70*100,3))</f>
        <v>-6.1890000000000001</v>
      </c>
      <c r="D49" s="173">
        <f t="shared" ref="D49:M49" si="6">IF($A$19,"n.a.",ROUND(D41/D70*100,3))</f>
        <v>-5.45</v>
      </c>
      <c r="E49" s="173">
        <f t="shared" si="6"/>
        <v>-5.13</v>
      </c>
      <c r="F49" s="173">
        <f t="shared" si="6"/>
        <v>-5.5439999999999996</v>
      </c>
      <c r="G49" s="173">
        <f t="shared" si="6"/>
        <v>-5.335</v>
      </c>
      <c r="H49" s="173">
        <f t="shared" si="6"/>
        <v>-5.577</v>
      </c>
      <c r="I49" s="173">
        <f t="shared" si="6"/>
        <v>-5.4980000000000002</v>
      </c>
      <c r="J49" s="173">
        <f t="shared" si="6"/>
        <v>-5.5179999999999998</v>
      </c>
      <c r="K49" s="173">
        <f t="shared" si="6"/>
        <v>-5.8230000000000004</v>
      </c>
      <c r="L49" s="173">
        <f t="shared" si="6"/>
        <v>-5.3879999999999999</v>
      </c>
      <c r="M49" s="173">
        <f t="shared" si="6"/>
        <v>-4.9130000000000003</v>
      </c>
      <c r="N49" s="173">
        <f>IF($A$19,"n.a.",ROUND(SUM(D41:H41)/SUM(D70:H70)*100,3))</f>
        <v>-5.4109999999999996</v>
      </c>
      <c r="O49" s="173">
        <f>IF($A$19,"n.a.",ROUND(SUM(D41:M41)/SUM(D70:M70)*100,3))</f>
        <v>-5.4139999999999997</v>
      </c>
    </row>
    <row r="50" spans="1:24" s="63" customFormat="1" ht="15" customHeight="1">
      <c r="A50" s="61"/>
      <c r="B50" s="62"/>
      <c r="C50" s="62"/>
      <c r="D50" s="62"/>
      <c r="E50" s="62"/>
      <c r="F50" s="62"/>
      <c r="G50" s="62"/>
      <c r="H50" s="62"/>
      <c r="I50" s="62"/>
      <c r="J50" s="62"/>
      <c r="K50" s="62"/>
      <c r="L50" s="62"/>
      <c r="M50" s="62"/>
      <c r="N50" s="62"/>
      <c r="O50" s="62"/>
    </row>
    <row r="51" spans="1:24" s="63" customFormat="1" ht="15" customHeight="1">
      <c r="A51" s="64" t="s">
        <v>67</v>
      </c>
      <c r="B51" s="62"/>
      <c r="C51" s="65"/>
      <c r="D51" s="65"/>
      <c r="E51" s="65"/>
      <c r="F51" s="65"/>
      <c r="G51" s="65"/>
      <c r="H51" s="65"/>
      <c r="I51" s="65"/>
      <c r="J51" s="65"/>
      <c r="K51" s="65"/>
      <c r="L51" s="65"/>
      <c r="M51" s="65"/>
      <c r="N51" s="62"/>
      <c r="O51" s="62"/>
    </row>
    <row r="52" spans="1:24" s="63" customFormat="1" ht="15" customHeight="1">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c r="A53" s="67" t="s">
        <v>21</v>
      </c>
      <c r="B53" s="82">
        <f>IF($A$19,"n.a.",B52)</f>
        <v>97.818585463700003</v>
      </c>
      <c r="C53" s="173">
        <f>IF($A$19,"n.a.",ROUND(C45/C70*100,3))</f>
        <v>99.888999999999996</v>
      </c>
      <c r="D53" s="173">
        <f t="shared" ref="D53:M53" si="7">IF($A$19,"n.a.",ROUND(D45/D70*100,3))</f>
        <v>101.631</v>
      </c>
      <c r="E53" s="173">
        <f t="shared" si="7"/>
        <v>103.038</v>
      </c>
      <c r="F53" s="173">
        <f t="shared" si="7"/>
        <v>104.693</v>
      </c>
      <c r="G53" s="173">
        <f t="shared" si="7"/>
        <v>105.88500000000001</v>
      </c>
      <c r="H53" s="173">
        <f t="shared" si="7"/>
        <v>107.062</v>
      </c>
      <c r="I53" s="173">
        <f t="shared" si="7"/>
        <v>108.024</v>
      </c>
      <c r="J53" s="173">
        <f t="shared" si="7"/>
        <v>108.916</v>
      </c>
      <c r="K53" s="173">
        <f t="shared" si="7"/>
        <v>109.98399999999999</v>
      </c>
      <c r="L53" s="173">
        <f t="shared" si="7"/>
        <v>110.58</v>
      </c>
      <c r="M53" s="173">
        <f t="shared" si="7"/>
        <v>110.693</v>
      </c>
      <c r="N53" s="51" t="s">
        <v>3</v>
      </c>
      <c r="O53" s="51" t="s">
        <v>3</v>
      </c>
    </row>
    <row r="54" spans="1:24" s="73" customFormat="1" ht="15" customHeight="1">
      <c r="A54" s="70"/>
      <c r="B54" s="71"/>
      <c r="C54" s="71"/>
      <c r="D54" s="71"/>
      <c r="E54" s="71"/>
      <c r="F54" s="71"/>
      <c r="G54" s="71"/>
      <c r="H54" s="71"/>
      <c r="I54" s="71"/>
      <c r="J54" s="71"/>
      <c r="K54" s="71"/>
      <c r="L54" s="71"/>
      <c r="M54" s="71"/>
      <c r="N54" s="72"/>
      <c r="O54" s="72"/>
    </row>
    <row r="55" spans="1:24" s="73" customFormat="1" ht="15" customHeight="1">
      <c r="A55" s="66"/>
      <c r="B55" s="74"/>
      <c r="C55" s="74"/>
      <c r="D55" s="74"/>
      <c r="E55" s="74"/>
      <c r="F55" s="74"/>
      <c r="G55" s="74"/>
      <c r="H55" s="74"/>
      <c r="I55" s="74"/>
      <c r="J55" s="74"/>
      <c r="K55" s="74"/>
      <c r="L55" s="74"/>
      <c r="M55" s="74"/>
    </row>
    <row r="56" spans="1:24" s="73" customFormat="1" ht="30.75" customHeight="1">
      <c r="B56" s="215" t="s">
        <v>105</v>
      </c>
      <c r="C56" s="215"/>
      <c r="D56" s="215"/>
      <c r="E56" s="215"/>
      <c r="F56" s="215"/>
      <c r="G56" s="215"/>
      <c r="H56" s="215"/>
      <c r="I56" s="215"/>
      <c r="J56" s="215"/>
      <c r="K56" s="215"/>
      <c r="L56" s="215"/>
      <c r="M56" s="215"/>
      <c r="N56" s="75"/>
    </row>
    <row r="57" spans="1:24" s="73" customFormat="1" ht="15" customHeight="1">
      <c r="B57" s="169"/>
      <c r="C57" s="169"/>
      <c r="D57" s="169"/>
      <c r="E57" s="169"/>
      <c r="F57" s="169"/>
      <c r="G57" s="169"/>
      <c r="H57" s="169"/>
      <c r="I57" s="169"/>
      <c r="J57" s="169"/>
      <c r="K57" s="169"/>
      <c r="L57" s="169"/>
      <c r="M57" s="169"/>
      <c r="N57" s="75"/>
    </row>
    <row r="58" spans="1:24" s="73" customFormat="1" ht="15" customHeight="1">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c r="A61" s="39" t="s">
        <v>21</v>
      </c>
      <c r="B61" s="82">
        <f>IF($A$19,"n.a.",B60)</f>
        <v>2.734</v>
      </c>
      <c r="C61" s="83">
        <f t="shared" ref="C61:L61" si="8">IF($A$19,"n.a.",ROUND((C64/B64-1)*100,3))</f>
        <v>2.125</v>
      </c>
      <c r="D61" s="83">
        <f t="shared" si="8"/>
        <v>1.9379999999999999</v>
      </c>
      <c r="E61" s="83">
        <f t="shared" si="8"/>
        <v>1.988</v>
      </c>
      <c r="F61" s="83">
        <f t="shared" si="8"/>
        <v>2.0880000000000001</v>
      </c>
      <c r="G61" s="83">
        <f t="shared" si="8"/>
        <v>2.25</v>
      </c>
      <c r="H61" s="83">
        <f t="shared" si="8"/>
        <v>2.411</v>
      </c>
      <c r="I61" s="83">
        <f t="shared" si="8"/>
        <v>2.4289999999999998</v>
      </c>
      <c r="J61" s="83">
        <f t="shared" si="8"/>
        <v>2.4660000000000002</v>
      </c>
      <c r="K61" s="83">
        <f t="shared" si="8"/>
        <v>2.4660000000000002</v>
      </c>
      <c r="L61" s="83">
        <f t="shared" si="8"/>
        <v>2.4510000000000001</v>
      </c>
      <c r="M61" s="83">
        <f>IF($A$19,"n.a.",ROUND((M64/L64-1)*100,3))</f>
        <v>2.4279999999999999</v>
      </c>
      <c r="N61" s="80"/>
      <c r="O61" s="80"/>
      <c r="P61" s="81"/>
      <c r="Q61" s="81"/>
      <c r="R61" s="81"/>
      <c r="S61" s="81"/>
      <c r="T61" s="81"/>
      <c r="U61" s="81"/>
      <c r="V61" s="81"/>
      <c r="W61" s="81"/>
      <c r="X61" s="81"/>
    </row>
    <row r="62" spans="1:24" s="79" customFormat="1" ht="15" customHeight="1">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c r="A63" s="37" t="s">
        <v>92</v>
      </c>
      <c r="B63" s="201">
        <v>23290.9</v>
      </c>
      <c r="C63" s="202">
        <v>23785.8</v>
      </c>
      <c r="D63" s="202">
        <v>24220.5</v>
      </c>
      <c r="E63" s="202">
        <v>24647.599999999999</v>
      </c>
      <c r="F63" s="202">
        <v>25077.7</v>
      </c>
      <c r="G63" s="202">
        <v>25525.599999999999</v>
      </c>
      <c r="H63" s="202">
        <v>25990.7</v>
      </c>
      <c r="I63" s="202">
        <v>26464.3</v>
      </c>
      <c r="J63" s="202">
        <v>26952</v>
      </c>
      <c r="K63" s="202">
        <v>27444.400000000001</v>
      </c>
      <c r="L63" s="202">
        <v>27937.8</v>
      </c>
      <c r="M63" s="202">
        <v>28429.599999999999</v>
      </c>
      <c r="N63" s="80"/>
      <c r="O63" s="80"/>
      <c r="P63" s="81"/>
      <c r="Q63" s="81"/>
      <c r="R63" s="81"/>
      <c r="S63" s="81"/>
      <c r="T63" s="81"/>
      <c r="U63" s="81"/>
      <c r="V63" s="81"/>
      <c r="W63" s="81"/>
      <c r="X63" s="81"/>
    </row>
    <row r="64" spans="1:24" s="28" customFormat="1" ht="15" customHeight="1">
      <c r="A64" s="39" t="s">
        <v>21</v>
      </c>
      <c r="B64" s="68">
        <f>IF($A$19,"n.a.",B63)</f>
        <v>23290.9</v>
      </c>
      <c r="C64" s="51">
        <f>IF($A$19,"n.a.",ROUND(C63*(1+$C108*C115),1))</f>
        <v>23785.8</v>
      </c>
      <c r="D64" s="51">
        <f>IF($A$19,"n.a.",ROUND(D63*(1+$D108*C115+$C108*D115),1))</f>
        <v>24246.799999999999</v>
      </c>
      <c r="E64" s="51">
        <f>IF($A$19,"n.a.",ROUND(E63*(1+$E108*C115+$D108*D115+$C108*E115),1))</f>
        <v>24728.799999999999</v>
      </c>
      <c r="F64" s="51">
        <f>IF($A$19,"n.a.",ROUND(F63*(1+$F108*C115+$E108*D115+$D108*E115+$C108*F115),1))</f>
        <v>25245.1</v>
      </c>
      <c r="G64" s="51">
        <f>IF($A$19,"n.a.",ROUND(G63*(1+$G108*C115+$F108*D115+$E108*E115+$D108*F115+$C108*G115),1))</f>
        <v>25813.1</v>
      </c>
      <c r="H64" s="51">
        <f>IF($A$19,"n.a.",ROUND(H63*(1+$H108*C115+$G108*D115+$F108*E115+$E108*F115+$D108*G115+$C108*H115),1))</f>
        <v>26435.5</v>
      </c>
      <c r="I64" s="51">
        <f>IF($A$19,"n.a.",ROUND(I63*(1+$I108*C115+$H108*D115+$G108*E115+$F108*F115+$E108*G115+$D108*H115+$C108*I115),1))</f>
        <v>27077.5</v>
      </c>
      <c r="J64" s="51">
        <f>IF($A$19,"n.a.",ROUND(J63*(1+$J108*C115+$I108*D115+$H108*E115+$G108*F115+$F108*G115+$E108*H115+$D108*I115+$C108*J115),1))</f>
        <v>27745.200000000001</v>
      </c>
      <c r="K64" s="51">
        <f>IF($A$19,"n.a.",ROUND(K63*(1+$K108*C115+$J108*D115+$I108*E115+$H108*F115+$G108*G115+$F108*H115+$E108*I115+$D108*J115+$C108*K115),1))</f>
        <v>28429.3</v>
      </c>
      <c r="L64" s="51">
        <f>IF($A$19,"n.a.",ROUND(L63*(1+$L108*C115+$K108*D115+$J108*E115+$I108*F115+$H108*G115+$G108*H115+$F108*I115+$E108*J115+$D108*K115+$C108*L115),1))</f>
        <v>29126.2</v>
      </c>
      <c r="M64" s="51">
        <f>IF($A$19,"n.a.",ROUND(M63*(1+$M108*C115+$L108*D115+$K108*E115+$J108*F115+$I108*G115+$H108*H115+$G108*I115+$F108*J115+$E108*K115+$D108*L115+$C108*M115),1))</f>
        <v>29833.3</v>
      </c>
      <c r="N64" s="80"/>
      <c r="O64" s="80"/>
      <c r="P64" s="81"/>
      <c r="Q64" s="81"/>
      <c r="R64" s="81"/>
      <c r="S64" s="81"/>
      <c r="T64" s="81"/>
      <c r="U64" s="81"/>
      <c r="V64" s="81"/>
      <c r="W64" s="81"/>
      <c r="X64" s="81"/>
    </row>
    <row r="65" spans="1:24" s="79" customFormat="1" ht="15" customHeight="1">
      <c r="A65" s="64" t="s">
        <v>70</v>
      </c>
      <c r="B65" s="84"/>
      <c r="C65" s="77"/>
      <c r="D65" s="77"/>
      <c r="E65" s="77"/>
      <c r="F65" s="77"/>
      <c r="G65" s="77"/>
      <c r="H65" s="77"/>
      <c r="I65" s="77"/>
      <c r="J65" s="77"/>
      <c r="K65" s="77"/>
      <c r="L65" s="77"/>
      <c r="M65" s="77"/>
      <c r="N65" s="78"/>
      <c r="O65" s="78"/>
      <c r="P65" s="22"/>
      <c r="Q65" s="22"/>
      <c r="R65" s="22"/>
      <c r="S65" s="22"/>
      <c r="T65" s="22"/>
      <c r="U65" s="22"/>
      <c r="V65" s="22"/>
      <c r="W65" s="22"/>
      <c r="X65" s="22"/>
    </row>
    <row r="66" spans="1:24" s="28" customFormat="1" ht="15" customHeight="1">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c r="A67" s="39" t="s">
        <v>21</v>
      </c>
      <c r="B67" s="68">
        <f>IF($A$19,"n.a.",B66)</f>
        <v>29166.2</v>
      </c>
      <c r="C67" s="51">
        <f>IF($A$19,"n.a.",ROUND(C64/C63*C66,1))</f>
        <v>30441.1</v>
      </c>
      <c r="D67" s="51">
        <f t="shared" ref="D67:L67" si="9">IF($A$19,"n.a.",ROUND(D64/D63*D66,1))</f>
        <v>31675</v>
      </c>
      <c r="E67" s="51">
        <f t="shared" si="9"/>
        <v>32949.199999999997</v>
      </c>
      <c r="F67" s="51">
        <f t="shared" si="9"/>
        <v>34305.9</v>
      </c>
      <c r="G67" s="51">
        <f t="shared" si="9"/>
        <v>35776.9</v>
      </c>
      <c r="H67" s="51">
        <f t="shared" si="9"/>
        <v>37367.5</v>
      </c>
      <c r="I67" s="51">
        <f t="shared" si="9"/>
        <v>39035.300000000003</v>
      </c>
      <c r="J67" s="51">
        <f t="shared" si="9"/>
        <v>40792.9</v>
      </c>
      <c r="K67" s="51">
        <f t="shared" si="9"/>
        <v>42631.1</v>
      </c>
      <c r="L67" s="51">
        <f t="shared" si="9"/>
        <v>44545.1</v>
      </c>
      <c r="M67" s="51">
        <f>IF($A$19,"n.a.",ROUND(M64/M63*M66,1))</f>
        <v>46534.9</v>
      </c>
      <c r="N67" s="80"/>
      <c r="O67" s="80"/>
      <c r="P67" s="81"/>
      <c r="Q67" s="81"/>
      <c r="R67" s="81"/>
      <c r="S67" s="81"/>
      <c r="T67" s="81"/>
      <c r="U67" s="81"/>
      <c r="V67" s="81"/>
      <c r="W67" s="81"/>
      <c r="X67" s="81"/>
    </row>
    <row r="68" spans="1:24" s="79" customFormat="1" ht="15" customHeight="1">
      <c r="A68" s="64" t="s">
        <v>71</v>
      </c>
      <c r="B68" s="84"/>
      <c r="C68" s="77"/>
      <c r="D68" s="77"/>
      <c r="E68" s="77"/>
      <c r="F68" s="77"/>
      <c r="G68" s="77"/>
      <c r="H68" s="77"/>
      <c r="I68" s="77"/>
      <c r="J68" s="77"/>
      <c r="K68" s="77"/>
      <c r="L68" s="77"/>
      <c r="M68" s="77"/>
      <c r="N68" s="78"/>
      <c r="O68" s="78"/>
      <c r="P68" s="22"/>
      <c r="Q68" s="22"/>
      <c r="R68" s="22"/>
      <c r="S68" s="22"/>
      <c r="T68" s="22"/>
      <c r="U68" s="22"/>
      <c r="V68" s="22"/>
      <c r="W68" s="22"/>
      <c r="X68" s="22"/>
    </row>
    <row r="69" spans="1:24" s="28" customFormat="1" ht="15" customHeight="1">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c r="A70" s="39" t="s">
        <v>21</v>
      </c>
      <c r="B70" s="68">
        <f>IF($A$19,"n.a.",B69)</f>
        <v>28823</v>
      </c>
      <c r="C70" s="51">
        <f>IF($A$19,"n.a.",ROUND(C69+(C67-C66)*0.75+(B67-B66)*0.25,1))</f>
        <v>30136.1</v>
      </c>
      <c r="D70" s="51">
        <f t="shared" ref="D70:L70" si="10">IF($A$19,"n.a.",ROUND(D69+(D67-D66)*0.75+(C67-C66)*0.25,1))</f>
        <v>31367.1</v>
      </c>
      <c r="E70" s="51">
        <f t="shared" si="10"/>
        <v>32627.9</v>
      </c>
      <c r="F70" s="51">
        <f t="shared" si="10"/>
        <v>33962.199999999997</v>
      </c>
      <c r="G70" s="51">
        <f t="shared" si="10"/>
        <v>35402.9</v>
      </c>
      <c r="H70" s="51">
        <f t="shared" si="10"/>
        <v>36964.9</v>
      </c>
      <c r="I70" s="51">
        <f t="shared" si="10"/>
        <v>38612.300000000003</v>
      </c>
      <c r="J70" s="51">
        <f t="shared" si="10"/>
        <v>40348.1</v>
      </c>
      <c r="K70" s="51">
        <f t="shared" si="10"/>
        <v>42167.1</v>
      </c>
      <c r="L70" s="51">
        <f t="shared" si="10"/>
        <v>44062.8</v>
      </c>
      <c r="M70" s="51">
        <f>IF($A$19,"n.a.",ROUND(M69+(M67-M66)*0.75+(L67-L66)*0.25,1))</f>
        <v>46033</v>
      </c>
      <c r="N70" s="80"/>
      <c r="O70" s="80"/>
      <c r="P70" s="81"/>
      <c r="Q70" s="81"/>
      <c r="R70" s="81"/>
      <c r="S70" s="81"/>
      <c r="T70" s="81"/>
      <c r="U70" s="81"/>
      <c r="V70" s="81"/>
      <c r="W70" s="81"/>
      <c r="X70" s="81"/>
    </row>
    <row r="71" spans="1:24" s="79" customFormat="1" ht="15" customHeight="1">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c r="A73" s="39" t="s">
        <v>21</v>
      </c>
      <c r="B73" s="82">
        <f>IF($A$19,"n.a.",B72)</f>
        <v>168.24299999999999</v>
      </c>
      <c r="C73" s="85">
        <f>IF($A$19,"n.a.",ROUND(C72*(1+$C110*C115),3))</f>
        <v>170.66200000000001</v>
      </c>
      <c r="D73" s="85">
        <f>IF($A$19,"n.a.",ROUND(D72*(1+$D110*C115+$C110*D115),3))</f>
        <v>173.404</v>
      </c>
      <c r="E73" s="85">
        <f>IF($A$19,"n.a.",ROUND(E72*(1+$E110*C115+$D110*D117+$C110*E115),3))</f>
        <v>174.10599999999999</v>
      </c>
      <c r="F73" s="85">
        <f>IF($A$19,"n.a.",ROUND(F72*(1+$F110*C115+$E110*D115+$D110*E115+$C110*F115),3))</f>
        <v>174.79300000000001</v>
      </c>
      <c r="G73" s="85">
        <f>IF($A$19,"n.a.",ROUND(G72*(1+$G110*C115+$F110*D115+$E110*E115+$D110*F115+$C110*G115),3))</f>
        <v>175.59899999999999</v>
      </c>
      <c r="H73" s="85">
        <f>IF($A$19,"n.a.",ROUND(H72*(1+$H110*C115+$G110*D115+$F110*E115+$E110*F115+$D110*G115+$C110*H115),3))</f>
        <v>176.49299999999999</v>
      </c>
      <c r="I73" s="85">
        <f>IF($A$19,"n.a.",ROUND(I72*(1+$I110*C115+$H110*D115+$G110*E115+$F110*F115+$E110*G115+$D110*H115+$C110*I115),3))</f>
        <v>177.43100000000001</v>
      </c>
      <c r="J73" s="85">
        <f>IF($A$19,"n.a.",ROUND(J72*(1+$J110*C115+$I110*D115+$H110*E115+$G110*F115+$F110*G115+$E110*H115+$D110*I115+$C110*J115),3))</f>
        <v>178.36199999999999</v>
      </c>
      <c r="K73" s="85">
        <f>IF($A$19,"n.a.",ROUND(K72*(1+$K110*C115+$J110*D115+$I110*E115+$H110*F115+$G110*G115+$F110*H115+$E110*I115+$D110*J115+$C110*K115),3))</f>
        <v>179.16</v>
      </c>
      <c r="L73" s="85">
        <f>IF($A$19,"n.a.",ROUND(L72*(1+$L110*C115+$K110*D115+$J110*E115+$I110*F115+$H110*G115+$G110*H115+$F110*I115+$E110*J115+$D110*K115+$C110*L115),3))</f>
        <v>179.96600000000001</v>
      </c>
      <c r="M73" s="85">
        <f>IF($A$19,"n.a.",ROUND(M72*(1+$M110*C115+$L110*D115+$K110*E115+$J110*F115+$I110*G115+$H110*H115+$G110*I115+$F110*J115+$E110*K115+$D110*L115+$C110*M115),3))</f>
        <v>180.75</v>
      </c>
      <c r="N73" s="80"/>
      <c r="O73" s="80"/>
      <c r="P73" s="81"/>
      <c r="Q73" s="81"/>
      <c r="R73" s="81"/>
      <c r="S73" s="81"/>
      <c r="T73" s="81"/>
      <c r="U73" s="81"/>
      <c r="V73" s="81"/>
      <c r="W73" s="81"/>
      <c r="X73" s="81"/>
    </row>
    <row r="74" spans="1:24" s="79" customFormat="1" ht="15" customHeight="1">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c r="A76" s="39" t="s">
        <v>21</v>
      </c>
      <c r="B76" s="86">
        <f>IF($A$19,"n.a.",B75)</f>
        <v>4.1879999999999997</v>
      </c>
      <c r="C76" s="87">
        <f>IF($A$19,"n.a.",ROUND(C75+$C109*C13,3))</f>
        <v>4.093</v>
      </c>
      <c r="D76" s="87">
        <f>IF($A$19,"n.a.",ROUND(D75+$D109*C13+$C109*D13,3))</f>
        <v>3.9470000000000001</v>
      </c>
      <c r="E76" s="87">
        <f>IF($A$19,"n.a.",ROUND(E75+$E109*C13+$D109*D13+$C109*E13,3))</f>
        <v>3.9510000000000001</v>
      </c>
      <c r="F76" s="87">
        <f>IF($A$19,"n.a.",ROUND(F75+$F109*C13+$E109*D13+$D109*E13+$C109*F13,3))</f>
        <v>3.9660000000000002</v>
      </c>
      <c r="G76" s="87">
        <f>IF($A$19,"n.a.",ROUND(G75+$G109*C13+$F109*D13+$E109*E13+$D109*F13+$C109*G13,3))</f>
        <v>3.9889999999999999</v>
      </c>
      <c r="H76" s="87">
        <f>IF($A$19,"n.a.",ROUND(H75+$H109*C13+$G109*D13+$F109*E13+$E109*F13+$D109*G13+$C109*H13,3))</f>
        <v>4.024</v>
      </c>
      <c r="I76" s="87">
        <f>IF($A$19,"n.a.",ROUND(I75+$I109*C13+$H109*D13+$G109*E13+$F109*F13+$E109*G13+$D109*H13+$C109*I13,3))</f>
        <v>4.0640000000000001</v>
      </c>
      <c r="J76" s="87">
        <f>IF($A$19,"n.a.",ROUND(J75+$J109*C13+$I109*D13+$H109*E13+$G109*F13+$F109*G13+$E109*H13+$D109*I13+$C109*J13,3))</f>
        <v>4.1050000000000004</v>
      </c>
      <c r="K76" s="87">
        <f>IF($A$19,"n.a.",ROUND(K75+$K109*C13+$J109*D13+$I109*E13+$H109*F13+$G109*G13+$F109*H13+$E109*I13+$D109*J13+$C109*K13,3))</f>
        <v>4.1429999999999998</v>
      </c>
      <c r="L76" s="87">
        <f>IF($A$19,"n.a.",ROUND(L75+$L109*C13+$K109*D13+$J109*E13+$I109*F13+$H109*G13+$G109*H13+$F109*I13+$E109*J13+$D109*K13+$C109*L13,3))</f>
        <v>4.1719999999999997</v>
      </c>
      <c r="M76" s="87">
        <f>IF($A$19,"n.a.",ROUND(M75+$M109*C13+$L109*D13+$K109*E13+$J109*F13+$I109*G13+$H109*H13+$G109*I13+$F109*J13+$E109*K13+$D109*L13+$C109*M13,3))</f>
        <v>4.1920000000000002</v>
      </c>
      <c r="N76" s="80"/>
      <c r="O76" s="80"/>
      <c r="P76" s="81"/>
      <c r="Q76" s="81"/>
      <c r="R76" s="81"/>
      <c r="S76" s="81"/>
      <c r="T76" s="81"/>
      <c r="U76" s="81"/>
      <c r="V76" s="81"/>
      <c r="W76" s="81"/>
      <c r="X76" s="81"/>
    </row>
    <row r="77" spans="1:24" s="79" customFormat="1" ht="15" customHeight="1">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c r="A79" s="39" t="s">
        <v>21</v>
      </c>
      <c r="B79" s="82">
        <f>IF($A$19,"n.a.",B78)</f>
        <v>2.4129999999999998</v>
      </c>
      <c r="C79" s="82">
        <f t="shared" ref="C79:L79" si="11">IF($A$19,"n.a.",C78)</f>
        <v>2.198</v>
      </c>
      <c r="D79" s="82">
        <f t="shared" si="11"/>
        <v>2.0750000000000002</v>
      </c>
      <c r="E79" s="82">
        <f t="shared" si="11"/>
        <v>1.9950000000000001</v>
      </c>
      <c r="F79" s="82">
        <f t="shared" si="11"/>
        <v>1.988</v>
      </c>
      <c r="G79" s="82">
        <f t="shared" si="11"/>
        <v>1.992</v>
      </c>
      <c r="H79" s="82">
        <f t="shared" si="11"/>
        <v>1.9870000000000001</v>
      </c>
      <c r="I79" s="82">
        <f t="shared" si="11"/>
        <v>1.986</v>
      </c>
      <c r="J79" s="82">
        <f t="shared" si="11"/>
        <v>1.9870000000000001</v>
      </c>
      <c r="K79" s="82">
        <f t="shared" si="11"/>
        <v>1.9910000000000001</v>
      </c>
      <c r="L79" s="82">
        <f t="shared" si="11"/>
        <v>1.9890000000000001</v>
      </c>
      <c r="M79" s="82">
        <f>IF($A$19,"n.a.",M78)</f>
        <v>1.99</v>
      </c>
      <c r="N79" s="80"/>
      <c r="O79" s="80"/>
    </row>
    <row r="80" spans="1:24" s="79" customFormat="1" ht="15" customHeight="1">
      <c r="A80" s="64" t="s">
        <v>75</v>
      </c>
      <c r="B80" s="84"/>
      <c r="C80" s="88"/>
      <c r="D80" s="88"/>
      <c r="E80" s="88"/>
      <c r="F80" s="88"/>
      <c r="G80" s="88"/>
      <c r="H80" s="88"/>
      <c r="I80" s="88"/>
      <c r="J80" s="88"/>
      <c r="K80" s="88"/>
      <c r="L80" s="88"/>
      <c r="M80" s="88"/>
      <c r="N80" s="78"/>
      <c r="O80" s="78"/>
    </row>
    <row r="81" spans="1:17" s="28" customFormat="1" ht="15" customHeight="1">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c r="A82" s="39" t="s">
        <v>21</v>
      </c>
      <c r="B82" s="82">
        <f>IF($A$19,"n.a.",B81)</f>
        <v>125.223</v>
      </c>
      <c r="C82" s="82">
        <f t="shared" ref="C82:L82" si="12">IF($A$19,"n.a.",C81)</f>
        <v>127.976</v>
      </c>
      <c r="D82" s="82">
        <f t="shared" si="12"/>
        <v>130.631</v>
      </c>
      <c r="E82" s="82">
        <f t="shared" si="12"/>
        <v>133.238</v>
      </c>
      <c r="F82" s="82">
        <f t="shared" si="12"/>
        <v>135.887</v>
      </c>
      <c r="G82" s="82">
        <f t="shared" si="12"/>
        <v>138.595</v>
      </c>
      <c r="H82" s="82">
        <f t="shared" si="12"/>
        <v>141.34899999999999</v>
      </c>
      <c r="I82" s="82">
        <f t="shared" si="12"/>
        <v>144.15700000000001</v>
      </c>
      <c r="J82" s="82">
        <f t="shared" si="12"/>
        <v>147.023</v>
      </c>
      <c r="K82" s="82">
        <f t="shared" si="12"/>
        <v>149.94999999999999</v>
      </c>
      <c r="L82" s="82">
        <f t="shared" si="12"/>
        <v>152.934</v>
      </c>
      <c r="M82" s="82">
        <f>IF($A$19,"n.a.",M81)</f>
        <v>155.97900000000001</v>
      </c>
      <c r="N82" s="80"/>
      <c r="O82" s="80"/>
    </row>
    <row r="83" spans="1:17" s="79" customFormat="1" ht="15" customHeight="1">
      <c r="A83" s="64" t="s">
        <v>76</v>
      </c>
      <c r="B83" s="84"/>
      <c r="C83" s="88"/>
      <c r="D83" s="88"/>
      <c r="E83" s="88"/>
      <c r="F83" s="88"/>
      <c r="G83" s="88"/>
      <c r="H83" s="88"/>
      <c r="I83" s="88"/>
      <c r="J83" s="88"/>
      <c r="K83" s="88"/>
      <c r="L83" s="88"/>
      <c r="M83" s="88"/>
      <c r="N83" s="78"/>
      <c r="O83" s="78"/>
    </row>
    <row r="84" spans="1:17" s="28" customFormat="1" ht="15" customHeight="1">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c r="A85" s="39" t="s">
        <v>21</v>
      </c>
      <c r="B85" s="82">
        <f>IF($A$19,"n.a.",B84)</f>
        <v>168.291</v>
      </c>
      <c r="C85" s="89">
        <f t="shared" ref="C85:L85" si="13">IF($A$19,"n.a.",ROUND((C67/C73)/(C66/C72)*C84,3))</f>
        <v>174.15600000000001</v>
      </c>
      <c r="D85" s="89">
        <f t="shared" si="13"/>
        <v>180.166</v>
      </c>
      <c r="E85" s="89">
        <f t="shared" si="13"/>
        <v>186.273</v>
      </c>
      <c r="F85" s="89">
        <f t="shared" si="13"/>
        <v>192.607</v>
      </c>
      <c r="G85" s="89">
        <f t="shared" si="13"/>
        <v>199.202</v>
      </c>
      <c r="H85" s="89">
        <f t="shared" si="13"/>
        <v>206.148</v>
      </c>
      <c r="I85" s="89">
        <f t="shared" si="13"/>
        <v>213.309</v>
      </c>
      <c r="J85" s="89">
        <f t="shared" si="13"/>
        <v>220.72</v>
      </c>
      <c r="K85" s="89">
        <f t="shared" si="13"/>
        <v>228.411</v>
      </c>
      <c r="L85" s="89">
        <f t="shared" si="13"/>
        <v>236.38499999999999</v>
      </c>
      <c r="M85" s="89">
        <f>IF($A$19,"n.a.",ROUND((M67/M73)/(M66/M72)*M84,3))</f>
        <v>244.648</v>
      </c>
      <c r="N85" s="80"/>
      <c r="O85" s="80"/>
      <c r="Q85" s="90"/>
    </row>
    <row r="86" spans="1:17" s="63" customFormat="1" ht="15" customHeight="1">
      <c r="A86" s="41"/>
      <c r="B86" s="91"/>
      <c r="C86" s="91"/>
      <c r="D86" s="91"/>
      <c r="E86" s="91"/>
      <c r="F86" s="91"/>
      <c r="G86" s="91"/>
      <c r="H86" s="91"/>
      <c r="I86" s="91"/>
      <c r="J86" s="91"/>
      <c r="K86" s="91"/>
      <c r="L86" s="92"/>
      <c r="M86" s="92"/>
    </row>
    <row r="87" spans="1:17" ht="15" customHeight="1">
      <c r="A87" s="93"/>
      <c r="B87" s="54"/>
      <c r="C87" s="54"/>
      <c r="D87" s="54"/>
      <c r="E87" s="54"/>
      <c r="F87" s="54"/>
      <c r="G87" s="54"/>
      <c r="H87" s="54"/>
      <c r="I87" s="54"/>
      <c r="J87" s="54"/>
      <c r="K87" s="54"/>
      <c r="L87" s="54"/>
      <c r="M87" s="54"/>
      <c r="N87" s="94"/>
      <c r="O87" s="94"/>
    </row>
    <row r="88" spans="1:17" s="63" customFormat="1" ht="15" customHeight="1">
      <c r="A88" s="217" t="s">
        <v>32</v>
      </c>
      <c r="B88" s="217"/>
      <c r="C88" s="217"/>
      <c r="D88" s="217"/>
      <c r="E88" s="217"/>
      <c r="F88" s="217"/>
      <c r="G88" s="217"/>
      <c r="H88" s="217"/>
      <c r="I88" s="217"/>
      <c r="J88" s="217"/>
      <c r="K88" s="217"/>
      <c r="L88" s="217"/>
      <c r="M88" s="217"/>
      <c r="N88" s="95"/>
      <c r="O88" s="95"/>
    </row>
    <row r="89" spans="1:17" s="63" customFormat="1" ht="15" customHeight="1">
      <c r="A89" s="170"/>
      <c r="B89" s="170"/>
      <c r="C89" s="170"/>
      <c r="D89" s="170"/>
      <c r="E89" s="170"/>
      <c r="F89" s="170"/>
      <c r="G89" s="170"/>
      <c r="H89" s="170"/>
      <c r="I89" s="170"/>
      <c r="J89" s="170"/>
      <c r="K89" s="170"/>
      <c r="L89" s="170"/>
      <c r="M89" s="170"/>
      <c r="N89" s="95"/>
      <c r="O89" s="95"/>
    </row>
    <row r="90" spans="1:17" ht="14">
      <c r="A90" s="216" t="s">
        <v>24</v>
      </c>
      <c r="B90" s="216"/>
      <c r="C90" s="216"/>
      <c r="D90" s="216"/>
      <c r="E90" s="216"/>
      <c r="F90" s="216"/>
      <c r="G90" s="216"/>
      <c r="H90" s="216"/>
      <c r="I90" s="216"/>
      <c r="J90" s="216"/>
      <c r="K90" s="216"/>
      <c r="L90" s="216"/>
      <c r="M90" s="216"/>
      <c r="N90" s="96"/>
      <c r="O90" s="96"/>
    </row>
    <row r="91" spans="1:17" ht="14">
      <c r="A91" s="207"/>
      <c r="B91" s="207"/>
      <c r="C91" s="207"/>
      <c r="D91" s="207"/>
      <c r="E91" s="207"/>
      <c r="F91" s="207"/>
      <c r="G91" s="207"/>
      <c r="H91" s="207"/>
      <c r="I91" s="207"/>
      <c r="J91" s="207"/>
      <c r="K91" s="207"/>
      <c r="L91" s="207"/>
      <c r="M91" s="207"/>
      <c r="N91" s="96"/>
      <c r="O91" s="96"/>
    </row>
    <row r="92" spans="1:17" ht="14">
      <c r="A92" s="216" t="s">
        <v>114</v>
      </c>
      <c r="B92" s="216"/>
      <c r="C92" s="216"/>
      <c r="D92" s="216"/>
      <c r="E92" s="216"/>
      <c r="F92" s="216"/>
      <c r="G92" s="216"/>
      <c r="H92" s="216"/>
      <c r="I92" s="216"/>
      <c r="J92" s="216"/>
      <c r="K92" s="216"/>
      <c r="L92" s="216"/>
      <c r="M92" s="216"/>
      <c r="N92" s="96"/>
      <c r="O92" s="96"/>
    </row>
    <row r="93" spans="1:17" ht="15" customHeight="1">
      <c r="A93" s="93"/>
      <c r="B93" s="54"/>
      <c r="C93" s="54"/>
      <c r="D93" s="54"/>
      <c r="E93" s="54"/>
      <c r="F93" s="54"/>
      <c r="G93" s="54"/>
      <c r="H93" s="54"/>
      <c r="I93" s="54"/>
      <c r="J93" s="54"/>
      <c r="K93" s="54"/>
      <c r="L93" s="54"/>
      <c r="M93" s="54"/>
      <c r="N93" s="94"/>
      <c r="O93" s="94"/>
    </row>
    <row r="94" spans="1:17" ht="15" customHeight="1">
      <c r="A94" s="212" t="s">
        <v>25</v>
      </c>
      <c r="B94" s="212"/>
      <c r="C94" s="212"/>
      <c r="D94" s="212"/>
      <c r="E94" s="212"/>
      <c r="F94" s="212"/>
      <c r="G94" s="212"/>
      <c r="H94" s="212"/>
      <c r="I94" s="212"/>
      <c r="J94" s="212"/>
      <c r="K94" s="212"/>
      <c r="L94" s="212"/>
      <c r="M94" s="212"/>
      <c r="N94" s="93"/>
      <c r="O94" s="93"/>
    </row>
    <row r="95" spans="1:17" ht="15" customHeight="1">
      <c r="A95" s="93"/>
      <c r="B95" s="54"/>
      <c r="C95" s="54"/>
      <c r="D95" s="54"/>
      <c r="E95" s="54"/>
      <c r="F95" s="54"/>
      <c r="G95" s="54"/>
      <c r="H95" s="54"/>
      <c r="I95" s="54"/>
      <c r="J95" s="54"/>
      <c r="K95" s="54"/>
      <c r="L95" s="54"/>
      <c r="M95" s="54"/>
      <c r="N95" s="94"/>
      <c r="O95" s="94"/>
    </row>
    <row r="96" spans="1:17" ht="15" customHeight="1">
      <c r="A96" s="212" t="s">
        <v>20</v>
      </c>
      <c r="B96" s="212"/>
      <c r="C96" s="212"/>
      <c r="D96" s="212"/>
      <c r="E96" s="212"/>
      <c r="F96" s="212"/>
      <c r="G96" s="212"/>
      <c r="H96" s="212"/>
      <c r="I96" s="212"/>
      <c r="J96" s="212"/>
      <c r="K96" s="212"/>
      <c r="L96" s="212"/>
      <c r="M96" s="212"/>
      <c r="N96" s="93"/>
      <c r="O96" s="93"/>
    </row>
    <row r="97" spans="1:15" ht="15" customHeight="1">
      <c r="A97" s="93"/>
      <c r="B97" s="97"/>
      <c r="C97" s="97"/>
      <c r="D97" s="97"/>
      <c r="E97" s="97"/>
      <c r="F97" s="97"/>
      <c r="G97" s="97"/>
      <c r="H97" s="97"/>
      <c r="I97" s="97"/>
      <c r="J97" s="97"/>
      <c r="K97" s="97"/>
      <c r="L97" s="97"/>
      <c r="M97" s="97"/>
      <c r="N97" s="98"/>
      <c r="O97" s="98"/>
    </row>
    <row r="98" spans="1:15" ht="42" customHeight="1">
      <c r="A98" s="216" t="s">
        <v>87</v>
      </c>
      <c r="B98" s="216"/>
      <c r="C98" s="216"/>
      <c r="D98" s="216"/>
      <c r="E98" s="216"/>
      <c r="F98" s="216"/>
      <c r="G98" s="216"/>
      <c r="H98" s="216"/>
      <c r="I98" s="216"/>
      <c r="J98" s="216"/>
      <c r="K98" s="216"/>
      <c r="L98" s="216"/>
      <c r="M98" s="216"/>
      <c r="N98" s="96"/>
      <c r="O98" s="96"/>
    </row>
    <row r="99" spans="1:15" ht="15" customHeight="1">
      <c r="A99" s="93"/>
      <c r="B99" s="97"/>
      <c r="C99" s="97"/>
      <c r="D99" s="97"/>
      <c r="E99" s="97"/>
      <c r="F99" s="97"/>
      <c r="G99" s="97"/>
      <c r="H99" s="97"/>
      <c r="I99" s="97"/>
      <c r="J99" s="97"/>
      <c r="K99" s="97"/>
      <c r="L99" s="97"/>
      <c r="M99" s="97"/>
      <c r="N99" s="98"/>
      <c r="O99" s="98"/>
    </row>
    <row r="100" spans="1:15" s="28" customFormat="1" ht="14.25" customHeight="1">
      <c r="A100" s="211" t="s">
        <v>18</v>
      </c>
      <c r="B100" s="211"/>
      <c r="C100" s="211"/>
      <c r="D100" s="211"/>
      <c r="E100" s="211"/>
      <c r="F100" s="211"/>
      <c r="G100" s="211"/>
      <c r="H100" s="211"/>
      <c r="I100" s="211"/>
      <c r="J100" s="211"/>
      <c r="K100" s="211"/>
      <c r="L100" s="211"/>
      <c r="M100" s="211"/>
      <c r="N100" s="99"/>
      <c r="O100" s="99"/>
    </row>
    <row r="101" spans="1:15" ht="15" customHeight="1">
      <c r="A101" s="93"/>
      <c r="B101" s="97"/>
      <c r="C101" s="97"/>
      <c r="D101" s="97"/>
      <c r="E101" s="97"/>
      <c r="F101" s="97"/>
      <c r="G101" s="97"/>
      <c r="H101" s="97"/>
      <c r="I101" s="97"/>
      <c r="J101" s="97"/>
      <c r="K101" s="97"/>
      <c r="L101" s="97"/>
      <c r="M101" s="97"/>
      <c r="N101" s="98"/>
      <c r="O101" s="98"/>
    </row>
    <row r="102" spans="1:15" ht="15" customHeight="1">
      <c r="A102" s="212" t="s">
        <v>16</v>
      </c>
      <c r="B102" s="212"/>
      <c r="C102" s="212"/>
      <c r="D102" s="212"/>
      <c r="E102" s="212"/>
      <c r="F102" s="212"/>
      <c r="G102" s="212"/>
      <c r="H102" s="212"/>
      <c r="I102" s="212"/>
      <c r="J102" s="212"/>
      <c r="K102" s="212"/>
      <c r="L102" s="212"/>
      <c r="M102" s="212"/>
      <c r="N102" s="98"/>
      <c r="O102" s="98"/>
    </row>
    <row r="103" spans="1:15" ht="15" customHeight="1">
      <c r="A103" s="93"/>
      <c r="B103" s="97"/>
      <c r="C103" s="97"/>
      <c r="D103" s="97"/>
      <c r="E103" s="97"/>
      <c r="F103" s="97"/>
      <c r="G103" s="97"/>
      <c r="H103" s="97"/>
      <c r="I103" s="97"/>
      <c r="J103" s="97"/>
      <c r="K103" s="97"/>
      <c r="L103" s="97"/>
      <c r="M103" s="97"/>
      <c r="N103" s="98"/>
      <c r="O103" s="98"/>
    </row>
    <row r="104" spans="1:15" ht="15" customHeight="1">
      <c r="A104" s="212" t="s">
        <v>14</v>
      </c>
      <c r="B104" s="212"/>
      <c r="C104" s="212"/>
      <c r="D104" s="212"/>
      <c r="E104" s="212"/>
      <c r="F104" s="212"/>
      <c r="G104" s="212"/>
      <c r="H104" s="212"/>
      <c r="I104" s="212"/>
      <c r="J104" s="212"/>
      <c r="K104" s="212"/>
      <c r="L104" s="212"/>
      <c r="M104" s="212"/>
      <c r="N104" s="93"/>
      <c r="O104" s="93"/>
    </row>
    <row r="105" spans="1:15" ht="15" customHeight="1">
      <c r="A105" s="100"/>
      <c r="B105" s="101"/>
      <c r="C105" s="101"/>
      <c r="D105" s="101"/>
      <c r="E105" s="101"/>
      <c r="F105" s="101"/>
      <c r="G105" s="101"/>
      <c r="H105" s="101"/>
      <c r="I105" s="101"/>
      <c r="J105" s="101"/>
      <c r="K105" s="101"/>
      <c r="L105" s="101"/>
      <c r="M105" s="101"/>
      <c r="N105" s="98"/>
      <c r="O105" s="98"/>
    </row>
    <row r="106" spans="1:15" ht="15" hidden="1" customHeight="1">
      <c r="A106" s="93"/>
      <c r="B106" s="97"/>
      <c r="C106" s="97"/>
      <c r="D106" s="97"/>
      <c r="E106" s="97"/>
      <c r="F106" s="97"/>
      <c r="G106" s="97"/>
      <c r="H106" s="97"/>
      <c r="I106" s="97"/>
      <c r="J106" s="97"/>
      <c r="K106" s="97"/>
      <c r="L106" s="97"/>
      <c r="M106" s="97"/>
      <c r="N106" s="98"/>
      <c r="O106" s="98"/>
    </row>
    <row r="107" spans="1:15" s="179" customFormat="1" ht="15" hidden="1" customHeight="1">
      <c r="A107" s="177" t="s">
        <v>26</v>
      </c>
      <c r="B107" s="178"/>
      <c r="C107" s="178"/>
      <c r="D107" s="178"/>
      <c r="E107" s="178"/>
      <c r="F107" s="178"/>
      <c r="G107" s="178"/>
      <c r="H107" s="178"/>
      <c r="I107" s="178"/>
      <c r="J107" s="178"/>
      <c r="K107" s="178"/>
      <c r="L107" s="178"/>
      <c r="M107" s="178"/>
      <c r="N107" s="178"/>
      <c r="O107" s="178"/>
    </row>
    <row r="108" spans="1:15" ht="15" hidden="1" customHeight="1">
      <c r="A108" s="4" t="s">
        <v>34</v>
      </c>
      <c r="C108" s="193">
        <v>1.0956090000000001</v>
      </c>
      <c r="D108" s="193">
        <v>4.0825E-2</v>
      </c>
      <c r="E108" s="193">
        <v>3.7559000000000002E-2</v>
      </c>
      <c r="F108" s="193">
        <v>3.5649E-2</v>
      </c>
      <c r="G108" s="193">
        <v>3.4293999999999998E-2</v>
      </c>
      <c r="H108" s="193">
        <v>3.3242000000000001E-2</v>
      </c>
      <c r="I108" s="193">
        <v>3.2383000000000002E-2</v>
      </c>
      <c r="J108" s="193">
        <v>3.1656999999999998E-2</v>
      </c>
      <c r="K108" s="193">
        <v>3.1028E-2</v>
      </c>
      <c r="L108" s="193">
        <v>3.0473E-2</v>
      </c>
      <c r="M108" s="193">
        <v>2.9975999999999999E-2</v>
      </c>
      <c r="N108" s="194"/>
      <c r="O108" s="109"/>
    </row>
    <row r="109" spans="1:15" ht="15" hidden="1" customHeight="1">
      <c r="A109" s="4" t="s">
        <v>35</v>
      </c>
      <c r="C109" s="193">
        <v>0.123846</v>
      </c>
      <c r="D109" s="193">
        <v>0.117642</v>
      </c>
      <c r="E109" s="193">
        <v>0.112054</v>
      </c>
      <c r="F109" s="193">
        <v>0.106971</v>
      </c>
      <c r="G109" s="193">
        <v>0.102282</v>
      </c>
      <c r="H109" s="193">
        <v>9.7875000000000004E-2</v>
      </c>
      <c r="I109" s="193">
        <v>9.3639E-2</v>
      </c>
      <c r="J109" s="193">
        <v>8.9462E-2</v>
      </c>
      <c r="K109" s="193">
        <v>8.5232000000000002E-2</v>
      </c>
      <c r="L109" s="193">
        <v>8.0839999999999995E-2</v>
      </c>
      <c r="M109" s="193">
        <v>7.6172000000000004E-2</v>
      </c>
      <c r="N109" s="194"/>
      <c r="O109" s="109"/>
    </row>
    <row r="110" spans="1:15" ht="15" hidden="1" customHeight="1">
      <c r="A110" s="4" t="s">
        <v>33</v>
      </c>
      <c r="C110" s="193">
        <v>0.16860600000000001</v>
      </c>
      <c r="D110" s="193">
        <v>6.1040000000000001E-3</v>
      </c>
      <c r="E110" s="193">
        <v>5.8100000000000001E-3</v>
      </c>
      <c r="F110" s="193">
        <v>5.6309999999999997E-3</v>
      </c>
      <c r="G110" s="193">
        <v>5.3299999999999997E-3</v>
      </c>
      <c r="H110" s="195">
        <v>5.2570000000000004E-3</v>
      </c>
      <c r="I110" s="195">
        <v>4.9870000000000001E-3</v>
      </c>
      <c r="J110" s="195">
        <v>4.9129999999999998E-3</v>
      </c>
      <c r="K110" s="195">
        <v>5.0260000000000001E-3</v>
      </c>
      <c r="L110" s="195">
        <v>4.653E-3</v>
      </c>
      <c r="M110" s="195">
        <v>4.4079999999999996E-3</v>
      </c>
      <c r="N110"/>
    </row>
    <row r="111" spans="1:15" ht="15" hidden="1" customHeight="1">
      <c r="C111" s="28"/>
      <c r="D111" s="109"/>
      <c r="E111" s="109"/>
      <c r="F111" s="109"/>
      <c r="G111" s="109"/>
      <c r="H111" s="109"/>
      <c r="I111" s="109"/>
      <c r="J111" s="109"/>
      <c r="K111" s="109"/>
      <c r="L111" s="109"/>
      <c r="M111" s="109"/>
    </row>
    <row r="112" spans="1:15" ht="15" hidden="1" customHeight="1"/>
    <row r="113" spans="1:13" ht="15" hidden="1" customHeight="1">
      <c r="A113" s="4" t="s">
        <v>38</v>
      </c>
      <c r="B113" s="3">
        <v>100</v>
      </c>
      <c r="C113" s="182">
        <f t="shared" ref="C113:M113" si="14">B113*(1+C16/100)</f>
        <v>100.983</v>
      </c>
      <c r="D113" s="182">
        <f t="shared" si="14"/>
        <v>102.00797745000001</v>
      </c>
      <c r="E113" s="182">
        <f t="shared" si="14"/>
        <v>103.08722185142102</v>
      </c>
      <c r="F113" s="182">
        <f t="shared" si="14"/>
        <v>104.22633565287923</v>
      </c>
      <c r="G113" s="182">
        <f t="shared" si="14"/>
        <v>105.40305098240023</v>
      </c>
      <c r="H113" s="182">
        <f t="shared" si="14"/>
        <v>106.58988933646206</v>
      </c>
      <c r="I113" s="182">
        <f t="shared" si="14"/>
        <v>107.78902559149726</v>
      </c>
      <c r="J113" s="182">
        <f t="shared" si="14"/>
        <v>108.99734056837794</v>
      </c>
      <c r="K113" s="182">
        <f t="shared" si="14"/>
        <v>110.21375088912104</v>
      </c>
      <c r="L113" s="182">
        <f t="shared" si="14"/>
        <v>111.44153207402584</v>
      </c>
      <c r="M113" s="182">
        <f t="shared" si="14"/>
        <v>112.68076191068901</v>
      </c>
    </row>
    <row r="114" spans="1:13" ht="15" hidden="1" customHeight="1">
      <c r="A114" s="4" t="s">
        <v>37</v>
      </c>
      <c r="B114" s="3">
        <v>100</v>
      </c>
      <c r="C114" s="182">
        <f t="shared" ref="C114:M114" si="15">B114*(1+C17/100)</f>
        <v>100.983</v>
      </c>
      <c r="D114" s="182">
        <f t="shared" si="15"/>
        <v>102.10896045</v>
      </c>
      <c r="E114" s="182">
        <f t="shared" si="15"/>
        <v>103.393491172461</v>
      </c>
      <c r="F114" s="182">
        <f t="shared" si="15"/>
        <v>104.84616972343406</v>
      </c>
      <c r="G114" s="182">
        <f t="shared" si="15"/>
        <v>106.44926765850536</v>
      </c>
      <c r="H114" s="182">
        <f t="shared" si="15"/>
        <v>108.18013275063265</v>
      </c>
      <c r="I114" s="182">
        <f t="shared" si="15"/>
        <v>109.93805990783044</v>
      </c>
      <c r="J114" s="182">
        <f t="shared" si="15"/>
        <v>111.72015585893638</v>
      </c>
      <c r="K114" s="182">
        <f t="shared" si="15"/>
        <v>113.52555357761679</v>
      </c>
      <c r="L114" s="182">
        <f t="shared" si="15"/>
        <v>115.35785601235953</v>
      </c>
      <c r="M114" s="182">
        <f t="shared" si="15"/>
        <v>117.21742465127876</v>
      </c>
    </row>
    <row r="115" spans="1:13" ht="15" hidden="1" customHeight="1">
      <c r="A115" s="4" t="s">
        <v>39</v>
      </c>
      <c r="C115" s="98">
        <f>C114/C113-1</f>
        <v>0</v>
      </c>
      <c r="D115" s="98">
        <f t="shared" ref="D115:M115" si="16">D114/D113-1</f>
        <v>9.8995198732843015E-4</v>
      </c>
      <c r="E115" s="98">
        <f t="shared" si="16"/>
        <v>2.9709726922451107E-3</v>
      </c>
      <c r="F115" s="98">
        <f t="shared" si="16"/>
        <v>5.9470005030126671E-3</v>
      </c>
      <c r="G115" s="98">
        <f t="shared" si="16"/>
        <v>9.9258671011319688E-3</v>
      </c>
      <c r="H115" s="98">
        <f t="shared" si="16"/>
        <v>1.4919270711979182E-2</v>
      </c>
      <c r="I115" s="98">
        <f t="shared" si="16"/>
        <v>1.9937412965190582E-2</v>
      </c>
      <c r="J115" s="98">
        <f t="shared" si="16"/>
        <v>2.4980566281342709E-2</v>
      </c>
      <c r="K115" s="98">
        <f t="shared" si="16"/>
        <v>3.0048906436616507E-2</v>
      </c>
      <c r="L115" s="98">
        <f t="shared" si="16"/>
        <v>3.5142409346384795E-2</v>
      </c>
      <c r="M115" s="98">
        <f t="shared" si="16"/>
        <v>4.0261200436197964E-2</v>
      </c>
    </row>
    <row r="116" spans="1:13" ht="15" hidden="1" customHeight="1">
      <c r="C116" s="98"/>
      <c r="D116" s="98"/>
      <c r="E116" s="98"/>
      <c r="F116" s="98"/>
      <c r="G116" s="98"/>
      <c r="H116" s="98"/>
      <c r="I116" s="98"/>
      <c r="J116" s="98"/>
      <c r="K116" s="98"/>
      <c r="L116" s="98"/>
      <c r="M116" s="98"/>
    </row>
    <row r="117" spans="1:13" ht="15" hidden="1" customHeight="1">
      <c r="A117" s="4" t="s">
        <v>43</v>
      </c>
      <c r="C117" s="98">
        <f>C76-C75</f>
        <v>0</v>
      </c>
      <c r="D117" s="98">
        <f t="shared" ref="D117:M117" si="17">D76-D75</f>
        <v>1.2000000000000011E-2</v>
      </c>
      <c r="E117" s="98">
        <f t="shared" si="17"/>
        <v>3.6999999999999922E-2</v>
      </c>
      <c r="F117" s="98">
        <f t="shared" si="17"/>
        <v>7.2000000000000064E-2</v>
      </c>
      <c r="G117" s="98">
        <f t="shared" si="17"/>
        <v>0.11799999999999988</v>
      </c>
      <c r="H117" s="98">
        <f t="shared" si="17"/>
        <v>0.17399999999999993</v>
      </c>
      <c r="I117" s="98">
        <f t="shared" si="17"/>
        <v>0.2280000000000002</v>
      </c>
      <c r="J117" s="98">
        <f t="shared" si="17"/>
        <v>0.27900000000000036</v>
      </c>
      <c r="K117" s="98">
        <f t="shared" si="17"/>
        <v>0.32799999999999985</v>
      </c>
      <c r="L117" s="98">
        <f t="shared" si="17"/>
        <v>0.37499999999999956</v>
      </c>
      <c r="M117" s="98">
        <f t="shared" si="17"/>
        <v>0.42000000000000037</v>
      </c>
    </row>
    <row r="118" spans="1:13" ht="15" hidden="1" customHeight="1">
      <c r="C118" s="98"/>
      <c r="D118" s="98"/>
      <c r="E118" s="98"/>
      <c r="F118" s="98"/>
      <c r="G118" s="98"/>
      <c r="H118" s="98"/>
      <c r="I118" s="98"/>
      <c r="J118" s="98"/>
      <c r="K118" s="98"/>
      <c r="L118" s="98"/>
      <c r="M118" s="98"/>
    </row>
    <row r="119" spans="1:13" ht="15" hidden="1" customHeight="1">
      <c r="A119" s="4" t="s">
        <v>42</v>
      </c>
      <c r="B119" s="184"/>
      <c r="C119" s="184">
        <v>52.194000000000003</v>
      </c>
      <c r="D119" s="184">
        <v>72.44</v>
      </c>
      <c r="E119" s="184">
        <v>41.603999999999999</v>
      </c>
      <c r="F119" s="184">
        <v>33.165999999999997</v>
      </c>
      <c r="G119" s="184">
        <v>27.507000000000001</v>
      </c>
      <c r="H119" s="184">
        <v>24.802</v>
      </c>
      <c r="I119" s="184">
        <v>18.082999999999998</v>
      </c>
      <c r="J119" s="184">
        <v>16.268999999999998</v>
      </c>
      <c r="K119" s="184">
        <v>12.265000000000001</v>
      </c>
      <c r="L119" s="184">
        <v>12.07</v>
      </c>
      <c r="M119" s="184">
        <v>10.215</v>
      </c>
    </row>
    <row r="120" spans="1:13" ht="15" hidden="1" customHeight="1">
      <c r="C120" s="98">
        <v>0</v>
      </c>
      <c r="D120" s="98">
        <v>54.98</v>
      </c>
      <c r="E120" s="98">
        <v>76.132999999999996</v>
      </c>
      <c r="F120" s="98">
        <v>43.307000000000002</v>
      </c>
      <c r="G120" s="98">
        <v>34.496000000000002</v>
      </c>
      <c r="H120" s="98">
        <v>28.579000000000001</v>
      </c>
      <c r="I120" s="98">
        <v>25.954000000000001</v>
      </c>
      <c r="J120" s="98">
        <v>19.027000000000001</v>
      </c>
      <c r="K120" s="98">
        <v>16.891999999999999</v>
      </c>
      <c r="L120" s="98">
        <v>12.59</v>
      </c>
      <c r="M120" s="98">
        <v>12.39</v>
      </c>
    </row>
    <row r="121" spans="1:13" ht="15" hidden="1" customHeight="1">
      <c r="C121" s="98">
        <v>0</v>
      </c>
      <c r="D121" s="98">
        <v>0</v>
      </c>
      <c r="E121" s="98">
        <v>56.722999999999999</v>
      </c>
      <c r="F121" s="98">
        <v>80.096000000000004</v>
      </c>
      <c r="G121" s="98">
        <v>45.121000000000002</v>
      </c>
      <c r="H121" s="98">
        <v>35.911999999999999</v>
      </c>
      <c r="I121" s="98">
        <v>29.72</v>
      </c>
      <c r="J121" s="98">
        <v>27.184000000000001</v>
      </c>
      <c r="K121" s="98">
        <v>20.036999999999999</v>
      </c>
      <c r="L121" s="98">
        <v>17.55</v>
      </c>
      <c r="M121" s="98">
        <v>12.930999999999999</v>
      </c>
    </row>
    <row r="122" spans="1:13" ht="15" hidden="1" customHeight="1">
      <c r="C122" s="98">
        <v>0</v>
      </c>
      <c r="D122" s="98">
        <v>0</v>
      </c>
      <c r="E122" s="98">
        <v>0</v>
      </c>
      <c r="F122" s="98">
        <v>60.441000000000003</v>
      </c>
      <c r="G122" s="98">
        <v>85.403000000000006</v>
      </c>
      <c r="H122" s="98">
        <v>48.331000000000003</v>
      </c>
      <c r="I122" s="98">
        <v>38.578000000000003</v>
      </c>
      <c r="J122" s="98">
        <v>31.995000000000001</v>
      </c>
      <c r="K122" s="98">
        <v>28.98</v>
      </c>
      <c r="L122" s="98">
        <v>21.3</v>
      </c>
      <c r="M122" s="98">
        <v>18.655999999999999</v>
      </c>
    </row>
    <row r="123" spans="1:13" ht="15" hidden="1" customHeight="1">
      <c r="C123" s="98">
        <v>0</v>
      </c>
      <c r="D123" s="98">
        <v>0</v>
      </c>
      <c r="E123" s="98">
        <v>0</v>
      </c>
      <c r="F123" s="98">
        <v>0</v>
      </c>
      <c r="G123" s="98">
        <v>63.893000000000001</v>
      </c>
      <c r="H123" s="98">
        <v>89.099000000000004</v>
      </c>
      <c r="I123" s="98">
        <v>50.652999999999999</v>
      </c>
      <c r="J123" s="98">
        <v>40.546999999999997</v>
      </c>
      <c r="K123" s="98">
        <v>33.700000000000003</v>
      </c>
      <c r="L123" s="98">
        <v>30.224</v>
      </c>
      <c r="M123" s="98">
        <v>22.152000000000001</v>
      </c>
    </row>
    <row r="124" spans="1:13" ht="15" hidden="1" customHeight="1">
      <c r="C124" s="98">
        <v>0</v>
      </c>
      <c r="D124" s="98">
        <v>0</v>
      </c>
      <c r="E124" s="98">
        <v>0</v>
      </c>
      <c r="F124" s="98">
        <v>0</v>
      </c>
      <c r="G124" s="98">
        <v>0</v>
      </c>
      <c r="H124" s="98">
        <v>68.037000000000006</v>
      </c>
      <c r="I124" s="98">
        <v>94.483999999999995</v>
      </c>
      <c r="J124" s="98">
        <v>53.69</v>
      </c>
      <c r="K124" s="98">
        <v>43.116</v>
      </c>
      <c r="L124" s="98">
        <v>35.887999999999998</v>
      </c>
      <c r="M124" s="98">
        <v>32.186</v>
      </c>
    </row>
    <row r="125" spans="1:13" ht="15" hidden="1" customHeight="1">
      <c r="C125" s="98">
        <v>0</v>
      </c>
      <c r="D125" s="98">
        <v>0</v>
      </c>
      <c r="E125" s="98">
        <v>0</v>
      </c>
      <c r="F125" s="98">
        <v>0</v>
      </c>
      <c r="G125" s="98">
        <v>0</v>
      </c>
      <c r="H125" s="98">
        <v>0</v>
      </c>
      <c r="I125" s="98">
        <v>70.947999999999993</v>
      </c>
      <c r="J125" s="98">
        <v>99.77</v>
      </c>
      <c r="K125" s="98">
        <v>56.667999999999999</v>
      </c>
      <c r="L125" s="98">
        <v>45.654000000000003</v>
      </c>
      <c r="M125" s="98">
        <v>38.055999999999997</v>
      </c>
    </row>
    <row r="126" spans="1:13" ht="15" hidden="1" customHeight="1">
      <c r="C126" s="98">
        <v>0</v>
      </c>
      <c r="D126" s="98">
        <v>0</v>
      </c>
      <c r="E126" s="98">
        <v>0</v>
      </c>
      <c r="F126" s="98">
        <v>0</v>
      </c>
      <c r="G126" s="98">
        <v>0</v>
      </c>
      <c r="H126" s="98">
        <v>0</v>
      </c>
      <c r="I126" s="98">
        <v>0</v>
      </c>
      <c r="J126" s="98">
        <v>74.688000000000002</v>
      </c>
      <c r="K126" s="98">
        <v>103.9</v>
      </c>
      <c r="L126" s="98">
        <v>58.811</v>
      </c>
      <c r="M126" s="98">
        <v>47.381</v>
      </c>
    </row>
    <row r="127" spans="1:13" ht="15" hidden="1" customHeight="1">
      <c r="C127" s="98">
        <v>0</v>
      </c>
      <c r="D127" s="98">
        <v>0</v>
      </c>
      <c r="E127" s="98">
        <v>0</v>
      </c>
      <c r="F127" s="98">
        <v>0</v>
      </c>
      <c r="G127" s="98">
        <v>0</v>
      </c>
      <c r="H127" s="98">
        <v>0</v>
      </c>
      <c r="I127" s="98">
        <v>0</v>
      </c>
      <c r="J127" s="98">
        <v>0</v>
      </c>
      <c r="K127" s="98">
        <v>78.212000000000003</v>
      </c>
      <c r="L127" s="98">
        <v>110.358</v>
      </c>
      <c r="M127" s="98">
        <v>62.250999999999998</v>
      </c>
    </row>
    <row r="128" spans="1:13" ht="15" hidden="1" customHeight="1">
      <c r="C128" s="98">
        <v>0</v>
      </c>
      <c r="D128" s="98">
        <v>0</v>
      </c>
      <c r="E128" s="98">
        <v>0</v>
      </c>
      <c r="F128" s="98">
        <v>0</v>
      </c>
      <c r="G128" s="98">
        <v>0</v>
      </c>
      <c r="H128" s="98">
        <v>0</v>
      </c>
      <c r="I128" s="98">
        <v>0</v>
      </c>
      <c r="J128" s="98">
        <v>0</v>
      </c>
      <c r="K128" s="98">
        <v>0</v>
      </c>
      <c r="L128" s="98">
        <v>81.424000000000007</v>
      </c>
      <c r="M128" s="98">
        <v>113.93300000000001</v>
      </c>
    </row>
    <row r="129" spans="1:13" ht="15" hidden="1" customHeight="1">
      <c r="C129" s="98">
        <v>0</v>
      </c>
      <c r="D129" s="98">
        <v>0</v>
      </c>
      <c r="E129" s="98">
        <v>0</v>
      </c>
      <c r="F129" s="98">
        <v>0</v>
      </c>
      <c r="G129" s="98">
        <v>0</v>
      </c>
      <c r="H129" s="98">
        <v>0</v>
      </c>
      <c r="I129" s="98">
        <v>0</v>
      </c>
      <c r="J129" s="98">
        <v>0</v>
      </c>
      <c r="K129" s="98">
        <v>0</v>
      </c>
      <c r="L129" s="98">
        <v>0</v>
      </c>
      <c r="M129" s="98">
        <v>85.108000000000004</v>
      </c>
    </row>
    <row r="130" spans="1:13" ht="15" hidden="1" customHeight="1">
      <c r="C130" s="98"/>
      <c r="D130" s="98"/>
      <c r="E130" s="98"/>
      <c r="F130" s="98"/>
      <c r="G130" s="98"/>
      <c r="H130" s="98"/>
      <c r="I130" s="98"/>
      <c r="J130" s="98"/>
      <c r="K130" s="98"/>
      <c r="L130" s="98"/>
      <c r="M130" s="98"/>
    </row>
    <row r="131" spans="1:13" ht="15" hidden="1" customHeight="1">
      <c r="A131" s="4" t="s">
        <v>44</v>
      </c>
      <c r="C131" s="98">
        <v>0.03</v>
      </c>
      <c r="D131" s="98">
        <v>-0.125</v>
      </c>
      <c r="E131" s="98">
        <v>-0.221</v>
      </c>
      <c r="F131" s="98">
        <v>-0.316</v>
      </c>
      <c r="G131" s="98">
        <v>-0.41299999999999998</v>
      </c>
      <c r="H131" s="98">
        <v>-0.63</v>
      </c>
      <c r="I131" s="98">
        <v>-0.89</v>
      </c>
      <c r="J131" s="98">
        <v>-1.1519999999999999</v>
      </c>
      <c r="K131" s="98">
        <v>-1.361</v>
      </c>
      <c r="L131" s="98">
        <v>-1.577</v>
      </c>
      <c r="M131" s="98">
        <v>-1.843</v>
      </c>
    </row>
    <row r="132" spans="1:13" ht="15" hidden="1" customHeight="1">
      <c r="C132" s="98"/>
      <c r="D132" s="98"/>
      <c r="E132" s="98"/>
      <c r="F132" s="98"/>
      <c r="G132" s="98"/>
      <c r="H132" s="98"/>
      <c r="I132" s="98"/>
      <c r="J132" s="98"/>
      <c r="K132" s="98"/>
      <c r="L132" s="98"/>
      <c r="M132" s="98"/>
    </row>
    <row r="133" spans="1:13" ht="15" hidden="1" customHeight="1">
      <c r="A133" s="4" t="s">
        <v>31</v>
      </c>
      <c r="C133" s="180">
        <f t="shared" ref="C133:M133" si="18">C27+C28+C30-C24</f>
        <v>0</v>
      </c>
      <c r="D133" s="180">
        <f t="shared" si="18"/>
        <v>-3.762</v>
      </c>
      <c r="E133" s="180">
        <f t="shared" si="18"/>
        <v>-12.704000000000001</v>
      </c>
      <c r="F133" s="180">
        <f t="shared" si="18"/>
        <v>-26.754999999999999</v>
      </c>
      <c r="G133" s="180">
        <f t="shared" si="18"/>
        <v>-47.134</v>
      </c>
      <c r="H133" s="180">
        <f t="shared" si="18"/>
        <v>-73.52600000000001</v>
      </c>
      <c r="I133" s="180">
        <f t="shared" si="18"/>
        <v>-102.23700000000001</v>
      </c>
      <c r="J133" s="180">
        <f t="shared" si="18"/>
        <v>-132.47300000000001</v>
      </c>
      <c r="K133" s="180">
        <f t="shared" si="18"/>
        <v>-164.87200000000001</v>
      </c>
      <c r="L133" s="180">
        <f t="shared" si="18"/>
        <v>-199.85499999999996</v>
      </c>
      <c r="M133" s="180">
        <f t="shared" si="18"/>
        <v>-238.55100000000002</v>
      </c>
    </row>
    <row r="134" spans="1:13" ht="15" hidden="1" customHeight="1">
      <c r="D134" s="188"/>
    </row>
    <row r="135" spans="1:13" ht="15" hidden="1" customHeight="1">
      <c r="A135" s="4" t="s">
        <v>29</v>
      </c>
      <c r="C135" s="3">
        <v>1.0500000000000001E-2</v>
      </c>
      <c r="D135" s="3">
        <v>3.7900000000000003E-2</v>
      </c>
      <c r="E135" s="3">
        <v>3.73E-2</v>
      </c>
      <c r="F135" s="3">
        <v>3.8300000000000001E-2</v>
      </c>
      <c r="G135" s="3">
        <v>3.9300000000000002E-2</v>
      </c>
      <c r="H135" s="3">
        <v>4.0300000000000002E-2</v>
      </c>
      <c r="I135" s="3">
        <v>4.1099999999999998E-2</v>
      </c>
      <c r="J135" s="3">
        <v>4.2200000000000001E-2</v>
      </c>
      <c r="K135" s="3">
        <v>4.3200000000000002E-2</v>
      </c>
      <c r="L135" s="3">
        <v>4.4499999999999998E-2</v>
      </c>
      <c r="M135" s="3">
        <v>4.5600000000000002E-2</v>
      </c>
    </row>
    <row r="136" spans="1:13" ht="15" hidden="1" customHeight="1">
      <c r="C136" s="3">
        <v>0</v>
      </c>
      <c r="D136" s="3">
        <v>1.8499999999999999E-2</v>
      </c>
      <c r="E136" s="3">
        <v>3.6499999999999998E-2</v>
      </c>
      <c r="F136" s="3">
        <v>3.78E-2</v>
      </c>
      <c r="G136" s="3">
        <v>3.8699999999999998E-2</v>
      </c>
      <c r="H136" s="3">
        <v>3.9800000000000002E-2</v>
      </c>
      <c r="I136" s="3">
        <v>4.1000000000000002E-2</v>
      </c>
      <c r="J136" s="3">
        <v>4.2000000000000003E-2</v>
      </c>
      <c r="K136" s="3">
        <v>4.3200000000000002E-2</v>
      </c>
      <c r="L136" s="3">
        <v>4.4499999999999998E-2</v>
      </c>
      <c r="M136" s="3">
        <v>4.5900000000000003E-2</v>
      </c>
    </row>
    <row r="137" spans="1:13" ht="15" hidden="1" customHeight="1">
      <c r="C137" s="3">
        <v>0</v>
      </c>
      <c r="D137" s="3">
        <v>0</v>
      </c>
      <c r="E137" s="3">
        <v>1.84E-2</v>
      </c>
      <c r="F137" s="3">
        <v>3.5999999999999997E-2</v>
      </c>
      <c r="G137" s="3">
        <v>3.6999999999999998E-2</v>
      </c>
      <c r="H137" s="3">
        <v>3.8199999999999998E-2</v>
      </c>
      <c r="I137" s="3">
        <v>3.9199999999999999E-2</v>
      </c>
      <c r="J137" s="3">
        <v>4.02E-2</v>
      </c>
      <c r="K137" s="3">
        <v>4.1599999999999998E-2</v>
      </c>
      <c r="L137" s="3">
        <v>4.2799999999999998E-2</v>
      </c>
      <c r="M137" s="3">
        <v>4.3999999999999997E-2</v>
      </c>
    </row>
    <row r="138" spans="1:13" ht="15" hidden="1" customHeight="1">
      <c r="C138" s="3">
        <v>0</v>
      </c>
      <c r="D138" s="3">
        <v>0</v>
      </c>
      <c r="E138" s="3">
        <v>0</v>
      </c>
      <c r="F138" s="3">
        <v>1.8200000000000001E-2</v>
      </c>
      <c r="G138" s="3">
        <v>3.5700000000000003E-2</v>
      </c>
      <c r="H138" s="3">
        <v>3.6700000000000003E-2</v>
      </c>
      <c r="I138" s="3">
        <v>3.78E-2</v>
      </c>
      <c r="J138" s="3">
        <v>3.8899999999999997E-2</v>
      </c>
      <c r="K138" s="3">
        <v>0.04</v>
      </c>
      <c r="L138" s="3">
        <v>4.1300000000000003E-2</v>
      </c>
      <c r="M138" s="3">
        <v>4.2500000000000003E-2</v>
      </c>
    </row>
    <row r="139" spans="1:13" ht="15" hidden="1" customHeight="1">
      <c r="C139" s="3">
        <v>0</v>
      </c>
      <c r="D139" s="3">
        <v>0</v>
      </c>
      <c r="E139" s="3">
        <v>0</v>
      </c>
      <c r="F139" s="3">
        <v>0</v>
      </c>
      <c r="G139" s="3">
        <v>1.8100000000000002E-2</v>
      </c>
      <c r="H139" s="3">
        <v>3.5400000000000001E-2</v>
      </c>
      <c r="I139" s="3">
        <v>3.6400000000000002E-2</v>
      </c>
      <c r="J139" s="3">
        <v>3.7499999999999999E-2</v>
      </c>
      <c r="K139" s="3">
        <v>3.8600000000000002E-2</v>
      </c>
      <c r="L139" s="3">
        <v>3.9800000000000002E-2</v>
      </c>
      <c r="M139" s="3">
        <v>4.0899999999999999E-2</v>
      </c>
    </row>
    <row r="140" spans="1:13" ht="15" hidden="1" customHeight="1">
      <c r="C140" s="3">
        <v>0</v>
      </c>
      <c r="D140" s="3">
        <v>0</v>
      </c>
      <c r="E140" s="3">
        <v>0</v>
      </c>
      <c r="F140" s="3">
        <v>0</v>
      </c>
      <c r="G140" s="3">
        <v>0</v>
      </c>
      <c r="H140" s="3">
        <v>1.8100000000000002E-2</v>
      </c>
      <c r="I140" s="3">
        <v>3.5000000000000003E-2</v>
      </c>
      <c r="J140" s="3">
        <v>3.5999999999999997E-2</v>
      </c>
      <c r="K140" s="3">
        <v>3.7199999999999997E-2</v>
      </c>
      <c r="L140" s="3">
        <v>3.8399999999999997E-2</v>
      </c>
      <c r="M140" s="3">
        <v>3.95E-2</v>
      </c>
    </row>
    <row r="141" spans="1:13" ht="15" hidden="1" customHeight="1">
      <c r="C141" s="3">
        <v>0</v>
      </c>
      <c r="D141" s="3">
        <v>0</v>
      </c>
      <c r="E141" s="3">
        <v>0</v>
      </c>
      <c r="F141" s="3">
        <v>0</v>
      </c>
      <c r="G141" s="3">
        <v>0</v>
      </c>
      <c r="H141" s="3">
        <v>0</v>
      </c>
      <c r="I141" s="3">
        <v>1.7999999999999999E-2</v>
      </c>
      <c r="J141" s="3">
        <v>3.4799999999999998E-2</v>
      </c>
      <c r="K141" s="3">
        <v>3.5999999999999997E-2</v>
      </c>
      <c r="L141" s="3">
        <v>3.6999999999999998E-2</v>
      </c>
      <c r="M141" s="3">
        <v>3.8100000000000002E-2</v>
      </c>
    </row>
    <row r="142" spans="1:13" ht="15" hidden="1" customHeight="1">
      <c r="C142" s="3">
        <v>0</v>
      </c>
      <c r="D142" s="3">
        <v>0</v>
      </c>
      <c r="E142" s="3">
        <v>0</v>
      </c>
      <c r="F142" s="3">
        <v>0</v>
      </c>
      <c r="G142" s="3">
        <v>0</v>
      </c>
      <c r="H142" s="3">
        <v>0</v>
      </c>
      <c r="I142" s="3">
        <v>0</v>
      </c>
      <c r="J142" s="3">
        <v>1.7999999999999999E-2</v>
      </c>
      <c r="K142" s="3">
        <v>3.4500000000000003E-2</v>
      </c>
      <c r="L142" s="3">
        <v>3.5799999999999998E-2</v>
      </c>
      <c r="M142" s="3">
        <v>3.6900000000000002E-2</v>
      </c>
    </row>
    <row r="143" spans="1:13" ht="15" hidden="1" customHeight="1">
      <c r="C143" s="3">
        <v>0</v>
      </c>
      <c r="D143" s="3">
        <v>0</v>
      </c>
      <c r="E143" s="3">
        <v>0</v>
      </c>
      <c r="F143" s="3">
        <v>0</v>
      </c>
      <c r="G143" s="3">
        <v>0</v>
      </c>
      <c r="H143" s="3">
        <v>0</v>
      </c>
      <c r="I143" s="3">
        <v>0</v>
      </c>
      <c r="J143" s="3">
        <v>0</v>
      </c>
      <c r="K143" s="3">
        <v>1.7899999999999999E-2</v>
      </c>
      <c r="L143" s="3">
        <v>3.4500000000000003E-2</v>
      </c>
      <c r="M143" s="3">
        <v>3.56E-2</v>
      </c>
    </row>
    <row r="144" spans="1:13" ht="15" hidden="1" customHeight="1">
      <c r="C144" s="3">
        <v>0</v>
      </c>
      <c r="D144" s="3">
        <v>0</v>
      </c>
      <c r="E144" s="3">
        <v>0</v>
      </c>
      <c r="F144" s="3">
        <v>0</v>
      </c>
      <c r="G144" s="3">
        <v>0</v>
      </c>
      <c r="H144" s="3">
        <v>0</v>
      </c>
      <c r="I144" s="3">
        <v>0</v>
      </c>
      <c r="J144" s="3">
        <v>0</v>
      </c>
      <c r="K144" s="3">
        <v>0</v>
      </c>
      <c r="L144" s="3">
        <v>1.7899999999999999E-2</v>
      </c>
      <c r="M144" s="3">
        <v>3.4299999999999997E-2</v>
      </c>
    </row>
    <row r="145" spans="1:13" ht="15" hidden="1" customHeight="1">
      <c r="C145" s="3">
        <v>0</v>
      </c>
      <c r="D145" s="3">
        <v>0</v>
      </c>
      <c r="E145" s="3">
        <v>0</v>
      </c>
      <c r="F145" s="3">
        <v>0</v>
      </c>
      <c r="G145" s="3">
        <v>0</v>
      </c>
      <c r="H145" s="3">
        <v>0</v>
      </c>
      <c r="I145" s="3">
        <v>0</v>
      </c>
      <c r="J145" s="3">
        <v>0</v>
      </c>
      <c r="K145" s="3">
        <v>0</v>
      </c>
      <c r="L145" s="3">
        <v>0</v>
      </c>
      <c r="M145" s="3">
        <v>1.78E-2</v>
      </c>
    </row>
    <row r="146" spans="1:13" ht="15" hidden="1" customHeight="1"/>
    <row r="147" spans="1:13" ht="15" hidden="1" customHeight="1">
      <c r="A147" s="4" t="s">
        <v>55</v>
      </c>
      <c r="C147" s="102">
        <v>0</v>
      </c>
      <c r="D147" s="102">
        <v>-2.0000000000000018E-3</v>
      </c>
      <c r="E147" s="102">
        <v>-5.0000000000000044E-3</v>
      </c>
      <c r="F147" s="102">
        <v>-1.399999999999979E-2</v>
      </c>
      <c r="G147" s="102">
        <v>-2.8999999999999915E-2</v>
      </c>
      <c r="H147" s="102">
        <v>-5.4999999999999716E-2</v>
      </c>
      <c r="I147" s="102">
        <v>-8.9999999999999858E-2</v>
      </c>
      <c r="J147" s="102">
        <v>-0.13499999999999979</v>
      </c>
      <c r="K147" s="102">
        <v>-0.19899999999999984</v>
      </c>
      <c r="L147" s="102">
        <v>-0.28300000000000125</v>
      </c>
      <c r="M147" s="102">
        <v>-0.39199999999999946</v>
      </c>
    </row>
  </sheetData>
  <sheetProtection sheet="1" objects="1" scenarios="1"/>
  <mergeCells count="17">
    <mergeCell ref="N21:O21"/>
    <mergeCell ref="O12:R14"/>
    <mergeCell ref="C20:L20"/>
    <mergeCell ref="A7:M7"/>
    <mergeCell ref="C21:M21"/>
    <mergeCell ref="A100:M100"/>
    <mergeCell ref="A102:M102"/>
    <mergeCell ref="A104:M104"/>
    <mergeCell ref="A5:M5"/>
    <mergeCell ref="C11:M11"/>
    <mergeCell ref="B56:M56"/>
    <mergeCell ref="A98:M98"/>
    <mergeCell ref="A90:M90"/>
    <mergeCell ref="A88:M88"/>
    <mergeCell ref="A96:M96"/>
    <mergeCell ref="A94:M94"/>
    <mergeCell ref="A92:M92"/>
  </mergeCells>
  <dataValidations count="1">
    <dataValidation type="decimal" allowBlank="1" showInputMessage="1" showErrorMessage="1" errorTitle="Outside Range" error="Please keep values in the range [-0.5, 0.5] percentage points per year. Values outside that range generate effects that are not reasonably approximated with this tool." promptTitle="User-Specified Scenario" prompt="Please keep values in the range [-0.5, 0.5] percentage points per year. Values outside that range generate effects that are not reasonably approximated with this tool." sqref="C13:M13" xr:uid="{00000000-0002-0000-0100-000000000000}">
      <formula1>-0.5</formula1>
      <formula2>0.5</formula2>
    </dataValidation>
  </dataValidations>
  <hyperlinks>
    <hyperlink ref="A2" r:id="rId1" display="https://www.cbo.gov/publication/61198" xr:uid="{F2088F1C-7CCB-4D52-9B6A-8969F1FD24FC}"/>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45"/>
  <sheetViews>
    <sheetView zoomScaleNormal="100" workbookViewId="0"/>
  </sheetViews>
  <sheetFormatPr baseColWidth="10" defaultColWidth="12.5" defaultRowHeight="15" customHeight="1"/>
  <cols>
    <col min="1" max="1" width="54.5" style="4" customWidth="1"/>
    <col min="2" max="14" width="7.5" style="3" customWidth="1"/>
    <col min="15" max="15" width="8.1640625" style="3" customWidth="1"/>
    <col min="16" max="16384" width="12.5" style="4"/>
  </cols>
  <sheetData>
    <row r="1" spans="1:18" ht="15" customHeight="1">
      <c r="A1" s="2" t="s">
        <v>101</v>
      </c>
    </row>
    <row r="2" spans="1:18" ht="15" customHeight="1">
      <c r="A2" s="210" t="s">
        <v>119</v>
      </c>
    </row>
    <row r="3" spans="1:18" ht="15" customHeight="1">
      <c r="A3" s="165"/>
    </row>
    <row r="4" spans="1:18" ht="15" customHeight="1">
      <c r="A4" s="28"/>
      <c r="B4" s="109"/>
      <c r="C4" s="109"/>
      <c r="D4" s="109"/>
      <c r="E4" s="109"/>
      <c r="F4" s="109"/>
      <c r="G4" s="109"/>
      <c r="H4" s="109"/>
      <c r="I4" s="109"/>
      <c r="J4" s="109"/>
      <c r="K4" s="109"/>
      <c r="L4" s="109"/>
      <c r="M4" s="109"/>
      <c r="N4" s="109"/>
      <c r="O4" s="109"/>
    </row>
    <row r="5" spans="1:18" s="6" customFormat="1" ht="60" customHeight="1">
      <c r="A5" s="213" t="s">
        <v>106</v>
      </c>
      <c r="B5" s="213"/>
      <c r="C5" s="213"/>
      <c r="D5" s="213"/>
      <c r="E5" s="213"/>
      <c r="F5" s="213"/>
      <c r="G5" s="213"/>
      <c r="H5" s="213"/>
      <c r="I5" s="213"/>
      <c r="J5" s="213"/>
      <c r="K5" s="213"/>
      <c r="L5" s="213"/>
      <c r="M5" s="213"/>
      <c r="N5" s="5"/>
      <c r="O5" s="5"/>
    </row>
    <row r="6" spans="1:18" s="6" customFormat="1" ht="15" customHeight="1">
      <c r="A6" s="7"/>
      <c r="B6" s="7"/>
      <c r="C6" s="7"/>
      <c r="D6" s="7"/>
      <c r="E6" s="7"/>
      <c r="F6" s="7"/>
      <c r="G6" s="7"/>
      <c r="H6" s="7"/>
      <c r="I6" s="7"/>
      <c r="J6" s="7"/>
      <c r="K6" s="7"/>
      <c r="L6" s="7"/>
      <c r="M6" s="7"/>
      <c r="N6" s="5"/>
      <c r="O6" s="5"/>
    </row>
    <row r="7" spans="1:18" ht="15" customHeight="1">
      <c r="A7" s="221" t="s">
        <v>23</v>
      </c>
      <c r="B7" s="221"/>
      <c r="C7" s="221"/>
      <c r="D7" s="221"/>
      <c r="E7" s="221"/>
      <c r="F7" s="221"/>
      <c r="G7" s="221"/>
      <c r="H7" s="221"/>
      <c r="I7" s="221"/>
      <c r="J7" s="221"/>
      <c r="K7" s="221"/>
      <c r="L7" s="221"/>
      <c r="M7" s="221"/>
      <c r="N7" s="8"/>
      <c r="O7" s="8"/>
    </row>
    <row r="8" spans="1:18" s="13" customFormat="1" ht="15" customHeight="1">
      <c r="A8" s="9"/>
      <c r="B8" s="47"/>
      <c r="C8" s="47"/>
      <c r="D8" s="47"/>
      <c r="E8" s="47"/>
      <c r="F8" s="47"/>
      <c r="G8" s="47"/>
      <c r="H8" s="47"/>
      <c r="I8" s="47"/>
      <c r="J8" s="47"/>
      <c r="K8" s="47"/>
      <c r="L8" s="47"/>
      <c r="M8" s="47"/>
      <c r="N8" s="10"/>
      <c r="O8" s="10"/>
    </row>
    <row r="9" spans="1:18" s="13" customFormat="1" ht="15" customHeight="1">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c r="A10" s="16"/>
      <c r="B10" s="17"/>
      <c r="C10" s="17"/>
      <c r="D10" s="17"/>
      <c r="E10" s="17"/>
      <c r="F10" s="17"/>
      <c r="G10" s="17"/>
      <c r="H10" s="17"/>
      <c r="I10" s="17"/>
      <c r="J10" s="17"/>
      <c r="K10" s="17"/>
      <c r="L10" s="17"/>
      <c r="M10" s="18"/>
      <c r="N10" s="19"/>
      <c r="O10" s="19"/>
      <c r="P10" s="12"/>
    </row>
    <row r="11" spans="1:18" ht="15" customHeight="1">
      <c r="A11" s="21"/>
      <c r="B11" s="28"/>
      <c r="C11" s="214" t="s">
        <v>77</v>
      </c>
      <c r="D11" s="214"/>
      <c r="E11" s="214"/>
      <c r="F11" s="214"/>
      <c r="G11" s="214"/>
      <c r="H11" s="214"/>
      <c r="I11" s="214"/>
      <c r="J11" s="214"/>
      <c r="K11" s="214"/>
      <c r="L11" s="214"/>
      <c r="M11" s="214"/>
      <c r="N11" s="22"/>
      <c r="O11" s="22"/>
      <c r="P11" s="28"/>
    </row>
    <row r="12" spans="1:18" ht="15" customHeight="1" thickBot="1">
      <c r="A12" s="21"/>
      <c r="B12" s="23"/>
      <c r="C12" s="24"/>
      <c r="D12" s="24"/>
      <c r="E12" s="24"/>
      <c r="F12" s="24"/>
      <c r="G12" s="24"/>
      <c r="H12" s="24"/>
      <c r="I12" s="24"/>
      <c r="J12" s="24"/>
      <c r="K12" s="24"/>
      <c r="L12" s="24"/>
      <c r="M12" s="24"/>
      <c r="N12" s="23"/>
      <c r="O12" s="219" t="s">
        <v>112</v>
      </c>
      <c r="P12" s="219"/>
      <c r="Q12" s="219"/>
      <c r="R12" s="219"/>
    </row>
    <row r="13" spans="1:18" s="28" customFormat="1" ht="48" customHeight="1" thickBot="1">
      <c r="A13" s="25" t="s">
        <v>107</v>
      </c>
      <c r="B13" s="26" t="s">
        <v>3</v>
      </c>
      <c r="C13" s="1">
        <v>-0.1</v>
      </c>
      <c r="D13" s="1">
        <v>-0.1</v>
      </c>
      <c r="E13" s="1">
        <v>-0.1</v>
      </c>
      <c r="F13" s="1">
        <v>-0.1</v>
      </c>
      <c r="G13" s="1">
        <v>-0.1</v>
      </c>
      <c r="H13" s="1">
        <v>-0.1</v>
      </c>
      <c r="I13" s="1">
        <v>-0.1</v>
      </c>
      <c r="J13" s="1">
        <v>-0.1</v>
      </c>
      <c r="K13" s="1">
        <v>-0.1</v>
      </c>
      <c r="L13" s="1">
        <v>-0.1</v>
      </c>
      <c r="M13" s="1">
        <v>-0.1</v>
      </c>
      <c r="N13" s="27"/>
      <c r="O13" s="219"/>
      <c r="P13" s="219"/>
      <c r="Q13" s="219"/>
      <c r="R13" s="219"/>
    </row>
    <row r="14" spans="1:18" ht="15" customHeight="1">
      <c r="A14" s="29" t="str">
        <f>IF($A$19,"Please keep values in the range [-0.75, 0.75] percentage points per year.","")</f>
        <v/>
      </c>
      <c r="B14" s="30"/>
      <c r="C14" s="31"/>
      <c r="D14" s="31"/>
      <c r="E14" s="31"/>
      <c r="F14" s="31"/>
      <c r="G14" s="31"/>
      <c r="H14" s="31"/>
      <c r="I14" s="31"/>
      <c r="J14" s="31"/>
      <c r="K14" s="31"/>
      <c r="L14" s="31"/>
      <c r="M14" s="31"/>
      <c r="N14" s="32"/>
      <c r="O14" s="219"/>
      <c r="P14" s="219"/>
      <c r="Q14" s="219"/>
      <c r="R14" s="219"/>
    </row>
    <row r="15" spans="1:18" s="36" customFormat="1" ht="15" customHeight="1">
      <c r="A15" s="33" t="s">
        <v>78</v>
      </c>
      <c r="B15" s="30"/>
      <c r="C15" s="30"/>
      <c r="D15" s="30"/>
      <c r="E15" s="30"/>
      <c r="F15" s="30"/>
      <c r="G15" s="30"/>
      <c r="H15" s="30"/>
      <c r="I15" s="30"/>
      <c r="J15" s="30"/>
      <c r="K15" s="30"/>
      <c r="L15" s="30"/>
      <c r="M15" s="30"/>
      <c r="N15" s="34"/>
      <c r="O15" s="34"/>
      <c r="P15" s="79"/>
    </row>
    <row r="16" spans="1:18">
      <c r="A16" s="37" t="s">
        <v>92</v>
      </c>
      <c r="B16" s="38">
        <v>0.67</v>
      </c>
      <c r="C16" s="38">
        <v>1.4379999999999999</v>
      </c>
      <c r="D16" s="38">
        <v>1.589</v>
      </c>
      <c r="E16" s="38">
        <v>0.36399999999999999</v>
      </c>
      <c r="F16" s="38">
        <v>0.34899999999999998</v>
      </c>
      <c r="G16" s="38">
        <v>0.38900000000000001</v>
      </c>
      <c r="H16" s="38">
        <v>0.41899999999999998</v>
      </c>
      <c r="I16" s="38">
        <v>0.437</v>
      </c>
      <c r="J16" s="38">
        <v>0.42799999999999999</v>
      </c>
      <c r="K16" s="38">
        <v>0.34799999999999998</v>
      </c>
      <c r="L16" s="38">
        <v>0.34699999999999998</v>
      </c>
      <c r="M16" s="38">
        <v>0.33</v>
      </c>
      <c r="N16" s="32"/>
      <c r="O16" s="32"/>
      <c r="P16" s="12"/>
    </row>
    <row r="17" spans="1:26" ht="14.25" customHeight="1">
      <c r="A17" s="39" t="s">
        <v>22</v>
      </c>
      <c r="B17" s="40">
        <f>IF($A$19,"n.a.",B16)</f>
        <v>0.67</v>
      </c>
      <c r="C17" s="40">
        <f>IF($A$19,"n.a.",(C73/B73-1)*100)</f>
        <v>1.3444838715429563</v>
      </c>
      <c r="D17" s="40">
        <f t="shared" ref="D17:M17" si="0">IF($A$19,"n.a.",(D73/C73-1)*100)</f>
        <v>1.4955573150347456</v>
      </c>
      <c r="E17" s="40">
        <f t="shared" si="0"/>
        <v>0.26927855306115855</v>
      </c>
      <c r="F17" s="40">
        <f t="shared" si="0"/>
        <v>0.25472421205503526</v>
      </c>
      <c r="G17" s="40">
        <f t="shared" si="0"/>
        <v>0.29546512764209165</v>
      </c>
      <c r="H17" s="40">
        <f t="shared" si="0"/>
        <v>0.32439805819677314</v>
      </c>
      <c r="I17" s="40">
        <f t="shared" si="0"/>
        <v>0.34277291865427717</v>
      </c>
      <c r="J17" s="40">
        <f t="shared" si="0"/>
        <v>0.33306194952260615</v>
      </c>
      <c r="K17" s="40">
        <f t="shared" si="0"/>
        <v>0.25308123567195917</v>
      </c>
      <c r="L17" s="40">
        <f t="shared" si="0"/>
        <v>0.25187633720864522</v>
      </c>
      <c r="M17" s="40">
        <f t="shared" si="0"/>
        <v>0.23543493357573997</v>
      </c>
      <c r="N17" s="32"/>
      <c r="O17" s="32"/>
      <c r="P17" s="28"/>
    </row>
    <row r="18" spans="1:26" ht="15" customHeight="1">
      <c r="A18" s="41"/>
      <c r="B18" s="42"/>
      <c r="C18" s="42"/>
      <c r="D18" s="42"/>
      <c r="E18" s="42"/>
      <c r="F18" s="42"/>
      <c r="G18" s="42"/>
      <c r="H18" s="42"/>
      <c r="I18" s="42"/>
      <c r="J18" s="42"/>
      <c r="K18" s="42"/>
      <c r="L18" s="42"/>
      <c r="M18" s="42"/>
      <c r="N18" s="43"/>
      <c r="O18" s="43"/>
      <c r="P18" s="28"/>
    </row>
    <row r="19" spans="1:26" ht="15" customHeight="1">
      <c r="A19" s="44">
        <f>IF(OR(MAX(C13:M13)&gt;0.75,MIN(C13:M13)&lt;-0.75),1,0)</f>
        <v>0</v>
      </c>
      <c r="B19" s="32"/>
      <c r="C19" s="32"/>
      <c r="D19" s="32"/>
      <c r="E19" s="32"/>
      <c r="F19" s="32"/>
      <c r="G19" s="32"/>
      <c r="H19" s="32"/>
      <c r="I19" s="32"/>
      <c r="J19" s="32"/>
      <c r="K19" s="32"/>
      <c r="L19" s="32"/>
      <c r="M19" s="32"/>
      <c r="N19" s="32"/>
      <c r="O19" s="32"/>
      <c r="P19" s="28"/>
    </row>
    <row r="20" spans="1:26" ht="15" customHeight="1">
      <c r="A20" s="45"/>
      <c r="B20" s="46"/>
      <c r="C20" s="220"/>
      <c r="D20" s="220"/>
      <c r="E20" s="220"/>
      <c r="F20" s="220"/>
      <c r="G20" s="220"/>
      <c r="H20" s="220"/>
      <c r="I20" s="220"/>
      <c r="J20" s="220"/>
      <c r="K20" s="220"/>
      <c r="L20" s="220"/>
      <c r="M20" s="171"/>
      <c r="N20" s="46"/>
      <c r="O20" s="46"/>
    </row>
    <row r="21" spans="1:26" s="13" customFormat="1" ht="15" customHeight="1">
      <c r="A21" s="9"/>
      <c r="B21" s="47"/>
      <c r="C21" s="220" t="s">
        <v>60</v>
      </c>
      <c r="D21" s="220"/>
      <c r="E21" s="220"/>
      <c r="F21" s="220"/>
      <c r="G21" s="220"/>
      <c r="H21" s="220"/>
      <c r="I21" s="220"/>
      <c r="J21" s="220"/>
      <c r="K21" s="220"/>
      <c r="L21" s="220"/>
      <c r="M21" s="220"/>
      <c r="N21" s="218" t="s">
        <v>15</v>
      </c>
      <c r="O21" s="218"/>
    </row>
    <row r="22" spans="1:26" s="13" customFormat="1" ht="15" customHeight="1">
      <c r="A22" s="9"/>
      <c r="B22" s="47"/>
      <c r="C22" s="47"/>
      <c r="D22" s="47"/>
      <c r="E22" s="47"/>
      <c r="F22" s="47"/>
      <c r="G22" s="47"/>
      <c r="H22" s="47"/>
      <c r="I22" s="47"/>
      <c r="J22" s="47"/>
      <c r="K22" s="47"/>
      <c r="L22" s="47"/>
      <c r="M22" s="47"/>
      <c r="N22" s="48" t="s">
        <v>91</v>
      </c>
      <c r="O22" s="48" t="s">
        <v>91</v>
      </c>
    </row>
    <row r="23" spans="1:26" s="13" customFormat="1" ht="15" customHeight="1">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c r="A24" s="50" t="s">
        <v>59</v>
      </c>
      <c r="B24" s="181" t="s">
        <v>3</v>
      </c>
      <c r="C24" s="181">
        <f>IF($A$19,"n.a.",ROUND('6. Labor Force_CBO'!C11/('6. Labor Force_CBO'!C57-'6. Labor Force_CBO'!C56)*(ROUND('2. Labor Force'!C70,1)-ROUND('2. Labor Force'!C69,1)),3))</f>
        <v>-1.649</v>
      </c>
      <c r="D24" s="181">
        <f>IF($A$19,"n.a.",ROUND('6. Labor Force_CBO'!D11/('6. Labor Force_CBO'!D57-'6. Labor Force_CBO'!D56)*(ROUND('2. Labor Force'!D70,1)-ROUND('2. Labor Force'!D69,1)),3))</f>
        <v>-4.2830000000000004</v>
      </c>
      <c r="E24" s="181">
        <f>IF($A$19,"n.a.",ROUND('6. Labor Force_CBO'!E11/('6. Labor Force_CBO'!E57-'6. Labor Force_CBO'!E56)*(ROUND('2. Labor Force'!E70,1)-ROUND('2. Labor Force'!E69,1)),3))</f>
        <v>-7.2</v>
      </c>
      <c r="F24" s="181">
        <f>IF($A$19,"n.a.",ROUND('6. Labor Force_CBO'!F11/('6. Labor Force_CBO'!F57-'6. Labor Force_CBO'!F56)*(ROUND('2. Labor Force'!F70,1)-ROUND('2. Labor Force'!F69,1)),3))</f>
        <v>-10.372999999999999</v>
      </c>
      <c r="G24" s="181">
        <f>IF($A$19,"n.a.",ROUND('6. Labor Force_CBO'!G11/('6. Labor Force_CBO'!G57-'6. Labor Force_CBO'!G56)*(ROUND('2. Labor Force'!G70,1)-ROUND('2. Labor Force'!G69,1)),3))</f>
        <v>-13.878</v>
      </c>
      <c r="H24" s="181">
        <f>IF($A$19,"n.a.",ROUND('6. Labor Force_CBO'!H11/('6. Labor Force_CBO'!H57-'6. Labor Force_CBO'!H56)*(ROUND('2. Labor Force'!H70,1)-ROUND('2. Labor Force'!H69,1)),3))</f>
        <v>-17.782</v>
      </c>
      <c r="I24" s="181">
        <f>IF($A$19,"n.a.",ROUND('6. Labor Force_CBO'!I11/('6. Labor Force_CBO'!I57-'6. Labor Force_CBO'!I56)*(ROUND('2. Labor Force'!I70,1)-ROUND('2. Labor Force'!I69,1)),3))</f>
        <v>-22.053000000000001</v>
      </c>
      <c r="J24" s="181">
        <f>IF($A$19,"n.a.",ROUND('6. Labor Force_CBO'!J11/('6. Labor Force_CBO'!J57-'6. Labor Force_CBO'!J56)*(ROUND('2. Labor Force'!J70,1)-ROUND('2. Labor Force'!J69,1)),3))</f>
        <v>-26.788</v>
      </c>
      <c r="K24" s="181">
        <f>IF($A$19,"n.a.",ROUND('6. Labor Force_CBO'!K11/('6. Labor Force_CBO'!K57-'6. Labor Force_CBO'!K56)*(ROUND('2. Labor Force'!K70,1)-ROUND('2. Labor Force'!K69,1)),3))</f>
        <v>-31.960999999999999</v>
      </c>
      <c r="L24" s="181">
        <f>IF($A$19,"n.a.",ROUND('6. Labor Force_CBO'!L11/('6. Labor Force_CBO'!L57-'6. Labor Force_CBO'!L56)*(ROUND('2. Labor Force'!L70,1)-ROUND('2. Labor Force'!L69,1)),3))</f>
        <v>-37.56</v>
      </c>
      <c r="M24" s="181">
        <f>IF($A$19,"n.a.",ROUND('6. Labor Force_CBO'!M11/('6. Labor Force_CBO'!M57-'6. Labor Force_CBO'!M56)*(ROUND('2. Labor Force'!M70,1)-ROUND('2. Labor Force'!M69,1)),3))</f>
        <v>-43.764000000000003</v>
      </c>
      <c r="N24" s="51">
        <f>IF($A$19,"n.a.",SUM(D24:H24))</f>
        <v>-53.516000000000005</v>
      </c>
      <c r="O24" s="51">
        <f>IF($A$19,"n.a.",SUM(D24:M24))</f>
        <v>-215.642</v>
      </c>
    </row>
    <row r="25" spans="1:26" ht="15" customHeight="1">
      <c r="A25" s="50"/>
      <c r="B25" s="181"/>
      <c r="C25" s="181"/>
      <c r="D25" s="181"/>
      <c r="E25" s="181"/>
      <c r="F25" s="181"/>
      <c r="G25" s="181"/>
      <c r="H25" s="181"/>
      <c r="I25" s="181"/>
      <c r="J25" s="181"/>
      <c r="K25" s="181"/>
      <c r="L25" s="181"/>
      <c r="M25" s="181"/>
      <c r="N25" s="51"/>
      <c r="O25" s="51"/>
    </row>
    <row r="26" spans="1:26" ht="15" customHeight="1">
      <c r="A26" s="50" t="s">
        <v>61</v>
      </c>
      <c r="B26" s="51"/>
      <c r="C26" s="51"/>
      <c r="D26" s="51"/>
      <c r="E26" s="51"/>
      <c r="F26" s="51"/>
      <c r="G26" s="51"/>
      <c r="H26" s="51"/>
      <c r="I26" s="51"/>
      <c r="J26" s="51"/>
      <c r="K26" s="51"/>
      <c r="L26" s="51"/>
      <c r="M26" s="51"/>
      <c r="N26" s="52"/>
      <c r="O26" s="52"/>
    </row>
    <row r="27" spans="1:26" ht="15" customHeight="1">
      <c r="A27" s="53" t="s">
        <v>0</v>
      </c>
      <c r="B27" s="181" t="s">
        <v>3</v>
      </c>
      <c r="C27" s="181">
        <f>IF($A$19,"n.a.",ROUND('6. Labor Force_CBO'!C14/('6. Labor Force_CBO'!C57-'6. Labor Force_CBO'!C56)*(ROUND('2. Labor Force'!C70,1)-ROUND('2. Labor Force'!C69,1)),3))</f>
        <v>0.28100000000000003</v>
      </c>
      <c r="D27" s="181">
        <f>IF($A$19,"n.a.",ROUND('6. Labor Force_CBO'!D14/('6. Labor Force_CBO'!D57-'6. Labor Force_CBO'!D56)*(ROUND('2. Labor Force'!D70,1)-ROUND('2. Labor Force'!D69,1)),3))</f>
        <v>0.74</v>
      </c>
      <c r="E27" s="181">
        <f>IF($A$19,"n.a.",ROUND('6. Labor Force_CBO'!E14/('6. Labor Force_CBO'!E57-'6. Labor Force_CBO'!E56)*(ROUND('2. Labor Force'!E70,1)-ROUND('2. Labor Force'!E69,1)),3))</f>
        <v>1.2110000000000001</v>
      </c>
      <c r="F27" s="181">
        <f>IF($A$19,"n.a.",ROUND('6. Labor Force_CBO'!F14/('6. Labor Force_CBO'!F57-'6. Labor Force_CBO'!F56)*(ROUND('2. Labor Force'!F70,1)-ROUND('2. Labor Force'!F69,1)),3))</f>
        <v>1.7330000000000001</v>
      </c>
      <c r="G27" s="181">
        <f>IF($A$19,"n.a.",ROUND('6. Labor Force_CBO'!G14/('6. Labor Force_CBO'!G57-'6. Labor Force_CBO'!G56)*(ROUND('2. Labor Force'!G70,1)-ROUND('2. Labor Force'!G69,1)),3))</f>
        <v>2.29</v>
      </c>
      <c r="H27" s="181">
        <f>IF($A$19,"n.a.",ROUND('6. Labor Force_CBO'!H14/('6. Labor Force_CBO'!H57-'6. Labor Force_CBO'!H56)*(ROUND('2. Labor Force'!H70,1)-ROUND('2. Labor Force'!H69,1)),3))</f>
        <v>2.8559999999999999</v>
      </c>
      <c r="I27" s="181">
        <f>IF($A$19,"n.a.",ROUND('6. Labor Force_CBO'!I14/('6. Labor Force_CBO'!I57-'6. Labor Force_CBO'!I56)*(ROUND('2. Labor Force'!I70,1)-ROUND('2. Labor Force'!I69,1)),3))</f>
        <v>3.532</v>
      </c>
      <c r="J27" s="181">
        <f>IF($A$19,"n.a.",ROUND('6. Labor Force_CBO'!J14/('6. Labor Force_CBO'!J57-'6. Labor Force_CBO'!J56)*(ROUND('2. Labor Force'!J70,1)-ROUND('2. Labor Force'!J69,1)),3))</f>
        <v>4.4820000000000002</v>
      </c>
      <c r="K27" s="181">
        <f>IF($A$19,"n.a.",ROUND('6. Labor Force_CBO'!K14/('6. Labor Force_CBO'!K57-'6. Labor Force_CBO'!K56)*(ROUND('2. Labor Force'!K70,1)-ROUND('2. Labor Force'!K69,1)),3))</f>
        <v>5.4550000000000001</v>
      </c>
      <c r="L27" s="181">
        <f>IF($A$19,"n.a.",ROUND('6. Labor Force_CBO'!L14/('6. Labor Force_CBO'!L57-'6. Labor Force_CBO'!L56)*(ROUND('2. Labor Force'!L70,1)-ROUND('2. Labor Force'!L69,1)),3))</f>
        <v>6.3029999999999999</v>
      </c>
      <c r="M27" s="181">
        <f>IF($A$19,"n.a.",ROUND('6. Labor Force_CBO'!M14/('6. Labor Force_CBO'!M57-'6. Labor Force_CBO'!M56)*(ROUND('2. Labor Force'!M70,1)-ROUND('2. Labor Force'!M69,1)),3))</f>
        <v>7.3040000000000003</v>
      </c>
      <c r="N27" s="51">
        <f>IF($A$19,"n.a.",SUM(D27:H27))</f>
        <v>8.83</v>
      </c>
      <c r="O27" s="51">
        <f>IF($A$19,"n.a.",SUM(D27:M27))</f>
        <v>35.905999999999999</v>
      </c>
    </row>
    <row r="28" spans="1:26" ht="15" customHeight="1">
      <c r="A28" s="53" t="s">
        <v>13</v>
      </c>
      <c r="B28" s="181" t="s">
        <v>3</v>
      </c>
      <c r="C28" s="181">
        <f t="shared" ref="C28:M28" si="1">IF($A$19,"n.a.",0)</f>
        <v>0</v>
      </c>
      <c r="D28" s="181">
        <f t="shared" si="1"/>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c r="A29" s="53" t="s">
        <v>49</v>
      </c>
      <c r="B29" s="51"/>
      <c r="C29" s="51"/>
      <c r="D29" s="51"/>
      <c r="E29" s="51"/>
      <c r="F29" s="51"/>
      <c r="G29" s="51"/>
      <c r="H29" s="51"/>
      <c r="I29" s="51"/>
      <c r="J29" s="51"/>
      <c r="K29" s="51"/>
      <c r="L29" s="51"/>
      <c r="M29" s="51"/>
      <c r="N29" s="51"/>
      <c r="O29" s="51"/>
    </row>
    <row r="30" spans="1:26" ht="15" customHeight="1">
      <c r="A30" s="55" t="s">
        <v>51</v>
      </c>
      <c r="B30" s="181" t="s">
        <v>3</v>
      </c>
      <c r="C30" s="181" cm="1">
        <f t="array" ref="C30">IF($A$19,"n.a.",ROUND(SUMPRODUCT(TRANSPOSE($C115:$M115),C117:C127),3)+ROUND(C129*C115/('6. Labor Force_CBO'!C63-'6. Labor Force_CBO'!C62),3))</f>
        <v>-0.3</v>
      </c>
      <c r="D30" s="181" cm="1">
        <f t="array" ref="D30">IF($A$19,"n.a.",ROUND(SUMPRODUCT(TRANSPOSE($C115:$M115),D117:D127),3)+ROUND(D129*D115/('6. Labor Force_CBO'!D63-'6. Labor Force_CBO'!D62),3))</f>
        <v>-1.101</v>
      </c>
      <c r="E30" s="181" cm="1">
        <f t="array" ref="E30">IF($A$19,"n.a.",ROUND(SUMPRODUCT(TRANSPOSE($C115:$M115),E117:E127),3)+ROUND(E129*E115/('6. Labor Force_CBO'!E63-'6. Labor Force_CBO'!E62),3))</f>
        <v>-2.1740000000000004</v>
      </c>
      <c r="F30" s="181" cm="1">
        <f t="array" ref="F30">IF($A$19,"n.a.",ROUND(SUMPRODUCT(TRANSPOSE($C115:$M115),F117:F127),3)+ROUND(F129*F115/('6. Labor Force_CBO'!F63-'6. Labor Force_CBO'!F62),3))</f>
        <v>-3.5070000000000001</v>
      </c>
      <c r="G30" s="181" cm="1">
        <f t="array" ref="G30">IF($A$19,"n.a.",ROUND(SUMPRODUCT(TRANSPOSE($C115:$M115),G117:G127),3)+ROUND(G129*G115/('6. Labor Force_CBO'!G63-'6. Labor Force_CBO'!G62),3))</f>
        <v>-5.1310000000000002</v>
      </c>
      <c r="H30" s="181" cm="1">
        <f t="array" ref="H30">IF($A$19,"n.a.",ROUND(SUMPRODUCT(TRANSPOSE($C115:$M115),H117:H127),3)+ROUND(H129*H115/('6. Labor Force_CBO'!H63-'6. Labor Force_CBO'!H62),3))</f>
        <v>-7.0089999999999995</v>
      </c>
      <c r="I30" s="181" cm="1">
        <f t="array" ref="I30">IF($A$19,"n.a.",ROUND(SUMPRODUCT(TRANSPOSE($C115:$M115),I117:I127),3)+ROUND(I129*I115/('6. Labor Force_CBO'!I63-'6. Labor Force_CBO'!I62),3))</f>
        <v>-9.0709999999999997</v>
      </c>
      <c r="J30" s="181" cm="1">
        <f t="array" ref="J30">IF($A$19,"n.a.",ROUND(SUMPRODUCT(TRANSPOSE($C115:$M115),J117:J127),3)+ROUND(J129*J115/('6. Labor Force_CBO'!J63-'6. Labor Force_CBO'!J62),3))</f>
        <v>-11.442</v>
      </c>
      <c r="K30" s="181" cm="1">
        <f t="array" ref="K30">IF($A$19,"n.a.",ROUND(SUMPRODUCT(TRANSPOSE($C115:$M115),K117:K127),3)+ROUND(K129*K115/('6. Labor Force_CBO'!K63-'6. Labor Force_CBO'!K62),3))</f>
        <v>-13.92</v>
      </c>
      <c r="L30" s="181" cm="1">
        <f t="array" ref="L30">IF($A$19,"n.a.",ROUND(SUMPRODUCT(TRANSPOSE($C115:$M115),L117:L127),3)+ROUND(L129*L115/('6. Labor Force_CBO'!L63-'6. Labor Force_CBO'!L62),3))</f>
        <v>-16.603999999999999</v>
      </c>
      <c r="M30" s="181" cm="1">
        <f t="array" ref="M30">IF($A$19,"n.a.",ROUND(SUMPRODUCT(TRANSPOSE($C115:$M115),M117:M127),3)+ROUND(M129*M115/('6. Labor Force_CBO'!M63-'6. Labor Force_CBO'!M62),3))</f>
        <v>-19.399000000000001</v>
      </c>
      <c r="N30" s="51">
        <f>IF($A$19,"n.a.",SUM(D30:H30))</f>
        <v>-18.922000000000001</v>
      </c>
      <c r="O30" s="51">
        <f>IF($A$19,"n.a.",SUM(D30:M30))</f>
        <v>-89.358000000000004</v>
      </c>
    </row>
    <row r="31" spans="1:26" ht="15" customHeight="1">
      <c r="A31" s="55" t="s">
        <v>7</v>
      </c>
      <c r="B31" s="181" t="s">
        <v>3</v>
      </c>
      <c r="C31" s="181" cm="1">
        <f t="array" ref="C31">IF($A$19,"n.a.",ROUND(SUMPRODUCT($C131:$M131,TRANSPOSE(C133:C143)),3) + ROUND((-C145)*C131/('6. Labor Force_CBO'!C24+'6. Labor Force_CBO'!C18),3))</f>
        <v>1.7000000000000001E-2</v>
      </c>
      <c r="D31" s="181" cm="1">
        <f t="array" ref="D31">IF($A$19,"n.a.",ROUND(SUMPRODUCT($C131:$M131,TRANSPOSE(D133:D143)),3) + ROUND((-D145)*D131/('6. Labor Force_CBO'!D24+'6. Labor Force_CBO'!D18),3))</f>
        <v>0.13800000000000001</v>
      </c>
      <c r="E31" s="181" cm="1">
        <f t="array" ref="E31">IF($A$19,"n.a.",ROUND(SUMPRODUCT($C131:$M131,TRANSPOSE(E133:E143)),3) + ROUND((-E145)*E131/('6. Labor Force_CBO'!E24+'6. Labor Force_CBO'!E18),3))</f>
        <v>0.32900000000000001</v>
      </c>
      <c r="F31" s="181" cm="1">
        <f t="array" ref="F31">IF($A$19,"n.a.",ROUND(SUMPRODUCT($C131:$M131,TRANSPOSE(F133:F143)),3) + ROUND((-F145)*F131/('6. Labor Force_CBO'!F24+'6. Labor Force_CBO'!F18),3))</f>
        <v>0.60899999999999999</v>
      </c>
      <c r="G31" s="181" cm="1">
        <f t="array" ref="G31">IF($A$19,"n.a.",ROUND(SUMPRODUCT($C131:$M131,TRANSPOSE(G133:G143)),3) + ROUND((-G145)*G131/('6. Labor Force_CBO'!G24+'6. Labor Force_CBO'!G18),3))</f>
        <v>0.98199999999999998</v>
      </c>
      <c r="H31" s="181" cm="1">
        <f t="array" ref="H31">IF($A$19,"n.a.",ROUND(SUMPRODUCT($C131:$M131,TRANSPOSE(H133:H143)),3) + ROUND((-H145)*H131/('6. Labor Force_CBO'!H24+'6. Labor Force_CBO'!H18),3))</f>
        <v>1.4570000000000001</v>
      </c>
      <c r="I31" s="181" cm="1">
        <f t="array" ref="I31">IF($A$19,"n.a.",ROUND(SUMPRODUCT($C131:$M131,TRANSPOSE(I133:I143)),3) + ROUND((-I145)*I131/('6. Labor Force_CBO'!I24+'6. Labor Force_CBO'!I18),3))</f>
        <v>2.036</v>
      </c>
      <c r="J31" s="181" cm="1">
        <f t="array" ref="J31">IF($A$19,"n.a.",ROUND(SUMPRODUCT($C131:$M131,TRANSPOSE(J133:J143)),3) + ROUND((-J145)*J131/('6. Labor Force_CBO'!J24+'6. Labor Force_CBO'!J18),3))</f>
        <v>2.7429999999999999</v>
      </c>
      <c r="K31" s="181" cm="1">
        <f t="array" ref="K31">IF($A$19,"n.a.",ROUND(SUMPRODUCT($C131:$M131,TRANSPOSE(K133:K143)),3) + ROUND((-K145)*K131/('6. Labor Force_CBO'!K24+'6. Labor Force_CBO'!K18),3))</f>
        <v>3.5910000000000002</v>
      </c>
      <c r="L31" s="181" cm="1">
        <f t="array" ref="L31">IF($A$19,"n.a.",ROUND(SUMPRODUCT($C131:$M131,TRANSPOSE(L133:L143)),3) + ROUND((-L145)*L131/('6. Labor Force_CBO'!L24+'6. Labor Force_CBO'!L18),3))</f>
        <v>4.593</v>
      </c>
      <c r="M31" s="181" cm="1">
        <f t="array" ref="M31">IF($A$19,"n.a.",ROUND(SUMPRODUCT($C131:$M131,TRANSPOSE(M133:M143)),3) + ROUND((-M145)*M131/('6. Labor Force_CBO'!M24+'6. Labor Force_CBO'!M18),3))</f>
        <v>5.7759999999999998</v>
      </c>
      <c r="N31" s="51">
        <f>IF($A$19,"n.a.",SUM(D31:H31))</f>
        <v>3.5149999999999997</v>
      </c>
      <c r="O31" s="51">
        <f>IF($A$19,"n.a.",SUM(D31:M31))</f>
        <v>22.254000000000001</v>
      </c>
    </row>
    <row r="32" spans="1:26" ht="3" customHeight="1">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c r="A33" s="158" t="s">
        <v>50</v>
      </c>
      <c r="B33" s="181" t="s">
        <v>3</v>
      </c>
      <c r="C33" s="51">
        <f>IF($A$19,"n.a.",C30+C31)</f>
        <v>-0.28299999999999997</v>
      </c>
      <c r="D33" s="51">
        <f t="shared" ref="D33:I33" si="2">IF($A$19,"n.a.",D30+D31)</f>
        <v>-0.96299999999999997</v>
      </c>
      <c r="E33" s="51">
        <f t="shared" si="2"/>
        <v>-1.8450000000000004</v>
      </c>
      <c r="F33" s="51">
        <f t="shared" si="2"/>
        <v>-2.8980000000000001</v>
      </c>
      <c r="G33" s="51">
        <f t="shared" si="2"/>
        <v>-4.149</v>
      </c>
      <c r="H33" s="51">
        <f t="shared" si="2"/>
        <v>-5.5519999999999996</v>
      </c>
      <c r="I33" s="51">
        <f t="shared" si="2"/>
        <v>-7.0350000000000001</v>
      </c>
      <c r="J33" s="51">
        <f>IF($A$19,"n.a.",J30+J31)</f>
        <v>-8.6989999999999998</v>
      </c>
      <c r="K33" s="51">
        <f>IF($A$19,"n.a.",K30+K31)</f>
        <v>-10.329000000000001</v>
      </c>
      <c r="L33" s="51">
        <f>IF($A$19,"n.a.",L30+L31)</f>
        <v>-12.010999999999999</v>
      </c>
      <c r="M33" s="51">
        <f>IF($A$19,"n.a.",M30+M31)</f>
        <v>-13.623000000000001</v>
      </c>
      <c r="N33" s="51">
        <f>IF($A$19,"n.a.",SUM(D33:H33))</f>
        <v>-15.407</v>
      </c>
      <c r="O33" s="51">
        <f>IF($A$19,"n.a.",SUM(D33:M33))</f>
        <v>-67.103999999999999</v>
      </c>
    </row>
    <row r="34" spans="1:16" ht="15" customHeight="1">
      <c r="A34" s="56"/>
      <c r="B34" s="181"/>
      <c r="C34" s="51"/>
      <c r="D34" s="51"/>
      <c r="E34" s="51"/>
      <c r="F34" s="51"/>
      <c r="G34" s="51"/>
      <c r="H34" s="51"/>
      <c r="I34" s="51"/>
      <c r="J34" s="51"/>
      <c r="K34" s="51"/>
      <c r="L34" s="51"/>
      <c r="M34" s="51"/>
      <c r="N34" s="51"/>
      <c r="O34" s="51"/>
    </row>
    <row r="35" spans="1:16" ht="15" customHeight="1">
      <c r="A35" s="57" t="s">
        <v>62</v>
      </c>
      <c r="B35" s="181" t="s">
        <v>3</v>
      </c>
      <c r="C35" s="51">
        <f t="shared" ref="C35:K35" si="3">IF($A$19,"n.a.",C27+C28+C33)</f>
        <v>-1.9999999999999463E-3</v>
      </c>
      <c r="D35" s="51">
        <f t="shared" si="3"/>
        <v>-0.22299999999999998</v>
      </c>
      <c r="E35" s="51">
        <f t="shared" si="3"/>
        <v>-0.63400000000000034</v>
      </c>
      <c r="F35" s="51">
        <f t="shared" si="3"/>
        <v>-1.165</v>
      </c>
      <c r="G35" s="51">
        <f t="shared" si="3"/>
        <v>-1.859</v>
      </c>
      <c r="H35" s="51">
        <f t="shared" si="3"/>
        <v>-2.6959999999999997</v>
      </c>
      <c r="I35" s="51">
        <f t="shared" si="3"/>
        <v>-3.5030000000000001</v>
      </c>
      <c r="J35" s="51">
        <f t="shared" si="3"/>
        <v>-4.2169999999999996</v>
      </c>
      <c r="K35" s="51">
        <f t="shared" si="3"/>
        <v>-4.8740000000000006</v>
      </c>
      <c r="L35" s="51">
        <f>IF($A$19,"n.a.",L27+L28+L33)</f>
        <v>-5.7079999999999993</v>
      </c>
      <c r="M35" s="51">
        <f>IF($A$19,"n.a.",M27+M28+M33)</f>
        <v>-6.3190000000000008</v>
      </c>
      <c r="N35" s="51">
        <f>IF($A$19,"n.a.",SUM(D35:H35))</f>
        <v>-6.577</v>
      </c>
      <c r="O35" s="51">
        <f>IF($A$19,"n.a.",SUM(D35:M35))</f>
        <v>-31.198</v>
      </c>
      <c r="P35" s="58"/>
    </row>
    <row r="36" spans="1:16" ht="15" customHeight="1">
      <c r="A36" s="50"/>
      <c r="B36" s="51"/>
      <c r="C36" s="51"/>
      <c r="D36" s="51"/>
      <c r="E36" s="51"/>
      <c r="F36" s="51"/>
      <c r="G36" s="51"/>
      <c r="H36" s="51"/>
      <c r="I36" s="51"/>
      <c r="J36" s="51"/>
      <c r="K36" s="51"/>
      <c r="L36" s="51"/>
      <c r="M36" s="51"/>
      <c r="N36" s="52"/>
      <c r="O36" s="52"/>
    </row>
    <row r="37" spans="1:16" ht="30" customHeight="1">
      <c r="A37" s="59" t="s">
        <v>104</v>
      </c>
      <c r="B37" s="60" t="s">
        <v>3</v>
      </c>
      <c r="C37" s="52">
        <f t="shared" ref="C37:K37" si="4">IF($A$19,"n.a.",C24-C35)</f>
        <v>-1.647</v>
      </c>
      <c r="D37" s="52">
        <f t="shared" si="4"/>
        <v>-4.0600000000000005</v>
      </c>
      <c r="E37" s="52">
        <f t="shared" si="4"/>
        <v>-6.5659999999999998</v>
      </c>
      <c r="F37" s="52">
        <f t="shared" si="4"/>
        <v>-9.2079999999999984</v>
      </c>
      <c r="G37" s="52">
        <f t="shared" si="4"/>
        <v>-12.019</v>
      </c>
      <c r="H37" s="52">
        <f t="shared" si="4"/>
        <v>-15.086</v>
      </c>
      <c r="I37" s="52">
        <f t="shared" si="4"/>
        <v>-18.55</v>
      </c>
      <c r="J37" s="52">
        <f t="shared" si="4"/>
        <v>-22.571000000000002</v>
      </c>
      <c r="K37" s="52">
        <f t="shared" si="4"/>
        <v>-27.086999999999996</v>
      </c>
      <c r="L37" s="52">
        <f>IF($A$19,"n.a.",L24-L35)</f>
        <v>-31.852000000000004</v>
      </c>
      <c r="M37" s="52">
        <f>IF($A$19,"n.a.",M24-M35)</f>
        <v>-37.445</v>
      </c>
      <c r="N37" s="52">
        <f>IF($A$19,"n.a.",SUM(D37:H37))</f>
        <v>-46.939</v>
      </c>
      <c r="O37" s="52">
        <f>IF($A$19,"n.a.",SUM(D37:M37))</f>
        <v>-184.44399999999999</v>
      </c>
    </row>
    <row r="38" spans="1:16" s="73" customFormat="1" ht="15" customHeight="1">
      <c r="A38" s="110"/>
      <c r="B38" s="111"/>
      <c r="C38" s="62"/>
      <c r="D38" s="62"/>
      <c r="E38" s="62"/>
      <c r="F38" s="62"/>
      <c r="G38" s="62"/>
      <c r="H38" s="62"/>
      <c r="I38" s="62"/>
      <c r="J38" s="62"/>
      <c r="K38" s="62"/>
      <c r="L38" s="62"/>
      <c r="M38" s="62"/>
      <c r="N38" s="111"/>
      <c r="O38" s="111"/>
    </row>
    <row r="39" spans="1:16" s="73" customFormat="1" ht="15" customHeight="1">
      <c r="A39" s="64" t="s">
        <v>64</v>
      </c>
      <c r="B39" s="111"/>
      <c r="C39" s="112"/>
      <c r="D39" s="112"/>
      <c r="E39" s="112"/>
      <c r="F39" s="112"/>
      <c r="G39" s="112"/>
      <c r="H39" s="112"/>
      <c r="I39" s="112"/>
      <c r="J39" s="112"/>
      <c r="K39" s="112"/>
      <c r="L39" s="112"/>
      <c r="M39" s="112"/>
      <c r="N39" s="111"/>
      <c r="O39" s="111"/>
    </row>
    <row r="40" spans="1:16" s="73" customFormat="1" ht="15" customHeight="1">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c r="A41" s="67" t="s">
        <v>21</v>
      </c>
      <c r="B41" s="68">
        <f>IF($A$19,"n.a.",B40)</f>
        <v>-1832.3809999999994</v>
      </c>
      <c r="C41" s="69">
        <f>IF($A$19,"n.a.",C40+C37)</f>
        <v>-1866.8980000000001</v>
      </c>
      <c r="D41" s="69">
        <f>IF($A$19,"n.a.",D40+D37)</f>
        <v>-1717.3179999999998</v>
      </c>
      <c r="E41" s="69">
        <f>IF($A$19,"n.a.",E40+E37)</f>
        <v>-1693.508</v>
      </c>
      <c r="F41" s="69">
        <f t="shared" ref="F41:L41" si="5">IF($A$19,"n.a.",F40+F37)</f>
        <v>-1919.9840000000008</v>
      </c>
      <c r="G41" s="69">
        <f t="shared" si="5"/>
        <v>-1950.2869999999991</v>
      </c>
      <c r="H41" s="69">
        <f t="shared" si="5"/>
        <v>-2154.8070000000012</v>
      </c>
      <c r="I41" s="69">
        <f t="shared" si="5"/>
        <v>-2251.3359999999993</v>
      </c>
      <c r="J41" s="69">
        <f t="shared" si="5"/>
        <v>-2393.1530000000002</v>
      </c>
      <c r="K41" s="69">
        <f t="shared" si="5"/>
        <v>-2664.3859999999981</v>
      </c>
      <c r="L41" s="69">
        <f t="shared" si="5"/>
        <v>-2629.101999999999</v>
      </c>
      <c r="M41" s="69">
        <f>IF($A$19,"n.a.",M40+M37)</f>
        <v>-2568.822999999999</v>
      </c>
      <c r="N41" s="51">
        <f>IF($A$19,"n.a.",SUM(D41:H41))</f>
        <v>-9435.9040000000023</v>
      </c>
      <c r="O41" s="51">
        <f>IF($A$19,"n.a.",SUM(D41:M41))</f>
        <v>-21942.703999999998</v>
      </c>
    </row>
    <row r="42" spans="1:16" s="63" customFormat="1" ht="15" customHeight="1">
      <c r="A42" s="61"/>
      <c r="B42" s="62"/>
      <c r="C42" s="62"/>
      <c r="D42" s="62"/>
      <c r="E42" s="62"/>
      <c r="F42" s="62"/>
      <c r="G42" s="62"/>
      <c r="H42" s="62"/>
      <c r="I42" s="62"/>
      <c r="J42" s="62"/>
      <c r="K42" s="62"/>
      <c r="L42" s="62"/>
      <c r="M42" s="62"/>
      <c r="N42" s="62"/>
      <c r="O42" s="62"/>
    </row>
    <row r="43" spans="1:16" s="63" customFormat="1" ht="15" customHeight="1">
      <c r="A43" s="64" t="s">
        <v>65</v>
      </c>
      <c r="B43" s="62"/>
      <c r="C43" s="65"/>
      <c r="D43" s="65"/>
      <c r="E43" s="65"/>
      <c r="F43" s="65"/>
      <c r="G43" s="65"/>
      <c r="H43" s="65"/>
      <c r="I43" s="65"/>
      <c r="J43" s="65"/>
      <c r="K43" s="65"/>
      <c r="L43" s="65"/>
      <c r="M43" s="65"/>
      <c r="N43" s="62"/>
      <c r="O43" s="62"/>
    </row>
    <row r="44" spans="1:16" s="63" customFormat="1" ht="15" customHeight="1">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c r="A45" s="67" t="s">
        <v>21</v>
      </c>
      <c r="B45" s="68">
        <f>IF($A$19,"n.a.",B44)</f>
        <v>28199.312999999998</v>
      </c>
      <c r="C45" s="69">
        <f>IF($A$19,"n.a.",C44-SUM($C37:C37))</f>
        <v>30104.396000000001</v>
      </c>
      <c r="D45" s="69">
        <f>IF($A$19,"n.a.",D44-SUM($C37:D37))</f>
        <v>31888.34</v>
      </c>
      <c r="E45" s="69">
        <f>IF($A$19,"n.a.",E44-SUM($C37:E37))</f>
        <v>33648.378000000004</v>
      </c>
      <c r="F45" s="69">
        <f>IF($A$19,"n.a.",F44-SUM($C37:F37))</f>
        <v>35622.120999999999</v>
      </c>
      <c r="G45" s="69">
        <f>IF($A$19,"n.a.",G44-SUM($C37:G37))</f>
        <v>37614</v>
      </c>
      <c r="H45" s="69">
        <f>IF($A$19,"n.a.",H44-SUM($C37:H37))</f>
        <v>39796.237000000001</v>
      </c>
      <c r="I45" s="69">
        <f>IF($A$19,"n.a.",I44-SUM($C37:I37))</f>
        <v>42059.521000000001</v>
      </c>
      <c r="J45" s="69">
        <f>IF($A$19,"n.a.",J44-SUM($C37:J37))</f>
        <v>44461.462</v>
      </c>
      <c r="K45" s="69">
        <f>IF($A$19,"n.a.",K44-SUM($C37:K37))</f>
        <v>47101.823000000004</v>
      </c>
      <c r="L45" s="69">
        <f>IF($A$19,"n.a.",L44-SUM($C37:L37))</f>
        <v>49704.15</v>
      </c>
      <c r="M45" s="69">
        <f>IF($A$19,"n.a.",M44-SUM($C37:M37))</f>
        <v>52241.957000000002</v>
      </c>
      <c r="N45" s="51" t="s">
        <v>3</v>
      </c>
      <c r="O45" s="51" t="s">
        <v>3</v>
      </c>
    </row>
    <row r="46" spans="1:16" s="63" customFormat="1" ht="15" customHeight="1">
      <c r="A46" s="61"/>
      <c r="B46" s="62"/>
      <c r="C46" s="62"/>
      <c r="D46" s="62"/>
      <c r="E46" s="62"/>
      <c r="F46" s="62"/>
      <c r="G46" s="62"/>
      <c r="H46" s="62"/>
      <c r="I46" s="62"/>
      <c r="J46" s="62"/>
      <c r="K46" s="62"/>
      <c r="L46" s="62"/>
      <c r="M46" s="62"/>
      <c r="N46" s="62"/>
      <c r="O46" s="62"/>
    </row>
    <row r="47" spans="1:16" s="63" customFormat="1" ht="15" customHeight="1">
      <c r="A47" s="64" t="s">
        <v>66</v>
      </c>
      <c r="B47" s="62"/>
      <c r="C47" s="65"/>
      <c r="D47" s="65"/>
      <c r="E47" s="65"/>
      <c r="F47" s="65"/>
      <c r="G47" s="65"/>
      <c r="H47" s="65"/>
      <c r="I47" s="65"/>
      <c r="J47" s="65"/>
      <c r="K47" s="65"/>
      <c r="L47" s="65"/>
      <c r="M47" s="65"/>
      <c r="N47" s="62"/>
      <c r="O47" s="62"/>
    </row>
    <row r="48" spans="1:16" s="63" customFormat="1" ht="15" customHeight="1">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c r="A49" s="67" t="s">
        <v>21</v>
      </c>
      <c r="B49" s="82">
        <f>IF($A$19,"n.a.",B48)</f>
        <v>-6.356215750736907</v>
      </c>
      <c r="C49" s="173">
        <f>IF($A$19,"n.a.",ROUND(C41/C70*100,3))</f>
        <v>-6.1970000000000001</v>
      </c>
      <c r="D49" s="173">
        <f t="shared" ref="D49:M49" si="6">IF($A$19,"n.a.",ROUND(D41/D70*100,3))</f>
        <v>-5.484</v>
      </c>
      <c r="E49" s="173">
        <f t="shared" si="6"/>
        <v>-5.2119999999999997</v>
      </c>
      <c r="F49" s="173">
        <f t="shared" si="6"/>
        <v>-5.6980000000000004</v>
      </c>
      <c r="G49" s="173">
        <f t="shared" si="6"/>
        <v>-5.5789999999999997</v>
      </c>
      <c r="H49" s="173">
        <f t="shared" si="6"/>
        <v>-5.94</v>
      </c>
      <c r="I49" s="173">
        <f t="shared" si="6"/>
        <v>-5.98</v>
      </c>
      <c r="J49" s="173">
        <f t="shared" si="6"/>
        <v>-6.1239999999999997</v>
      </c>
      <c r="K49" s="173">
        <f t="shared" si="6"/>
        <v>-6.569</v>
      </c>
      <c r="L49" s="173">
        <f t="shared" si="6"/>
        <v>-6.2469999999999999</v>
      </c>
      <c r="M49" s="173">
        <f t="shared" si="6"/>
        <v>-5.8849999999999998</v>
      </c>
      <c r="N49" s="173">
        <f>IF($A$19,"n.a.",ROUND(SUM(D41:H41)/SUM(D70:H70)*100,3))</f>
        <v>-5.5919999999999996</v>
      </c>
      <c r="O49" s="173">
        <f>IF($A$19,"n.a.",ROUND(SUM(D41:M41)/SUM(D70:M70)*100,3))</f>
        <v>-5.9029999999999996</v>
      </c>
    </row>
    <row r="50" spans="1:24" s="63" customFormat="1" ht="15" customHeight="1">
      <c r="A50" s="61"/>
      <c r="B50" s="62"/>
      <c r="C50" s="62"/>
      <c r="D50" s="62"/>
      <c r="E50" s="62"/>
      <c r="F50" s="62"/>
      <c r="G50" s="62"/>
      <c r="H50" s="62"/>
      <c r="I50" s="62"/>
      <c r="J50" s="62"/>
      <c r="K50" s="62"/>
      <c r="L50" s="62"/>
      <c r="M50" s="62"/>
      <c r="N50" s="62"/>
      <c r="O50" s="62"/>
    </row>
    <row r="51" spans="1:24" s="63" customFormat="1" ht="15" customHeight="1">
      <c r="A51" s="64" t="s">
        <v>67</v>
      </c>
      <c r="B51" s="62"/>
      <c r="C51" s="65"/>
      <c r="D51" s="65"/>
      <c r="E51" s="65"/>
      <c r="F51" s="65"/>
      <c r="G51" s="65"/>
      <c r="H51" s="65"/>
      <c r="I51" s="65"/>
      <c r="J51" s="65"/>
      <c r="K51" s="65"/>
      <c r="L51" s="65"/>
      <c r="M51" s="65"/>
      <c r="N51" s="62"/>
      <c r="O51" s="62"/>
    </row>
    <row r="52" spans="1:24" s="63" customFormat="1" ht="15" customHeight="1">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c r="A53" s="67" t="s">
        <v>21</v>
      </c>
      <c r="B53" s="82">
        <f>IF($A$19,"n.a.",B52)</f>
        <v>97.818585463700003</v>
      </c>
      <c r="C53" s="173">
        <f>IF($A$19,"n.a.",ROUND(C45/C70*100,3))</f>
        <v>99.933999999999997</v>
      </c>
      <c r="D53" s="173">
        <f t="shared" ref="D53:M53" si="7">IF($A$19,"n.a.",ROUND(D45/D70*100,3))</f>
        <v>101.839</v>
      </c>
      <c r="E53" s="173">
        <f t="shared" si="7"/>
        <v>103.565</v>
      </c>
      <c r="F53" s="173">
        <f t="shared" si="7"/>
        <v>105.71899999999999</v>
      </c>
      <c r="G53" s="173">
        <f t="shared" si="7"/>
        <v>107.608</v>
      </c>
      <c r="H53" s="173">
        <f t="shared" si="7"/>
        <v>109.705</v>
      </c>
      <c r="I53" s="173">
        <f t="shared" si="7"/>
        <v>111.723</v>
      </c>
      <c r="J53" s="173">
        <f t="shared" si="7"/>
        <v>113.782</v>
      </c>
      <c r="K53" s="173">
        <f t="shared" si="7"/>
        <v>116.133</v>
      </c>
      <c r="L53" s="173">
        <f t="shared" si="7"/>
        <v>118.105</v>
      </c>
      <c r="M53" s="173">
        <f t="shared" si="7"/>
        <v>119.679</v>
      </c>
      <c r="N53" s="51" t="s">
        <v>3</v>
      </c>
      <c r="O53" s="51" t="s">
        <v>3</v>
      </c>
    </row>
    <row r="54" spans="1:24" s="73" customFormat="1" ht="15" customHeight="1">
      <c r="A54" s="70"/>
      <c r="B54" s="113"/>
      <c r="C54" s="113"/>
      <c r="D54" s="113"/>
      <c r="E54" s="113"/>
      <c r="F54" s="113"/>
      <c r="G54" s="113"/>
      <c r="H54" s="113"/>
      <c r="I54" s="113"/>
      <c r="J54" s="113"/>
      <c r="K54" s="113"/>
      <c r="L54" s="113"/>
      <c r="M54" s="113"/>
      <c r="N54" s="114"/>
      <c r="O54" s="114"/>
    </row>
    <row r="55" spans="1:24" s="73" customFormat="1" ht="15" customHeight="1">
      <c r="A55" s="66"/>
      <c r="B55" s="74"/>
      <c r="C55" s="74"/>
      <c r="D55" s="74"/>
      <c r="E55" s="74"/>
      <c r="F55" s="74"/>
      <c r="G55" s="74"/>
      <c r="H55" s="74"/>
      <c r="I55" s="74"/>
      <c r="J55" s="74"/>
      <c r="K55" s="74"/>
      <c r="L55" s="74"/>
      <c r="M55" s="74"/>
    </row>
    <row r="56" spans="1:24" s="73" customFormat="1" ht="30.75" customHeight="1">
      <c r="B56" s="215" t="s">
        <v>105</v>
      </c>
      <c r="C56" s="215"/>
      <c r="D56" s="215"/>
      <c r="E56" s="215"/>
      <c r="F56" s="215"/>
      <c r="G56" s="215"/>
      <c r="H56" s="215"/>
      <c r="I56" s="215"/>
      <c r="J56" s="215"/>
      <c r="K56" s="215"/>
      <c r="L56" s="215"/>
      <c r="M56" s="215"/>
      <c r="N56" s="75"/>
    </row>
    <row r="57" spans="1:24" s="73" customFormat="1" ht="15" customHeight="1">
      <c r="B57" s="169"/>
      <c r="C57" s="169"/>
      <c r="D57" s="169"/>
      <c r="E57" s="169"/>
      <c r="F57" s="169"/>
      <c r="G57" s="169"/>
      <c r="H57" s="169"/>
      <c r="I57" s="169"/>
      <c r="J57" s="169"/>
      <c r="K57" s="169"/>
      <c r="L57" s="169"/>
      <c r="M57" s="169"/>
      <c r="N57" s="75"/>
    </row>
    <row r="58" spans="1:24" s="73" customFormat="1" ht="15" customHeight="1">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c r="A61" s="39" t="s">
        <v>21</v>
      </c>
      <c r="B61" s="82">
        <f>IF($A$19,"n.a.",B60)</f>
        <v>2.734</v>
      </c>
      <c r="C61" s="83">
        <f t="shared" ref="C61:L61" si="8">IF($A$19,"n.a.",ROUND((C64/B64-1)*100,3))</f>
        <v>2.0720000000000001</v>
      </c>
      <c r="D61" s="83">
        <f t="shared" si="8"/>
        <v>1.7729999999999999</v>
      </c>
      <c r="E61" s="83">
        <f t="shared" si="8"/>
        <v>1.706</v>
      </c>
      <c r="F61" s="83">
        <f t="shared" si="8"/>
        <v>1.6859999999999999</v>
      </c>
      <c r="G61" s="83">
        <f t="shared" si="8"/>
        <v>1.726</v>
      </c>
      <c r="H61" s="83">
        <f t="shared" si="8"/>
        <v>1.76</v>
      </c>
      <c r="I61" s="83">
        <f t="shared" si="8"/>
        <v>1.7589999999999999</v>
      </c>
      <c r="J61" s="83">
        <f t="shared" si="8"/>
        <v>1.778</v>
      </c>
      <c r="K61" s="83">
        <f t="shared" si="8"/>
        <v>1.7609999999999999</v>
      </c>
      <c r="L61" s="83">
        <f t="shared" si="8"/>
        <v>1.73</v>
      </c>
      <c r="M61" s="83">
        <f>IF($A$19,"n.a.",ROUND((M64/L64-1)*100,3))</f>
        <v>1.6910000000000001</v>
      </c>
      <c r="N61" s="80"/>
      <c r="O61" s="80"/>
      <c r="P61" s="81"/>
      <c r="Q61" s="81"/>
      <c r="R61" s="81"/>
      <c r="S61" s="81"/>
      <c r="T61" s="81"/>
      <c r="U61" s="81"/>
      <c r="V61" s="81"/>
      <c r="W61" s="81"/>
      <c r="X61" s="81"/>
    </row>
    <row r="62" spans="1:24" s="79" customFormat="1" ht="15" customHeight="1">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c r="A64" s="39" t="s">
        <v>21</v>
      </c>
      <c r="B64" s="68">
        <f>IF($A$19,"n.a.",B63)</f>
        <v>23290.9</v>
      </c>
      <c r="C64" s="51">
        <f>IF($A$19,"n.a.",ROUND(C63*(1+$C108*C113),1))</f>
        <v>23773.5</v>
      </c>
      <c r="D64" s="51">
        <f>IF($A$19,"n.a.",ROUND(D63*(1+$D108*C113+$C108*D113),1))</f>
        <v>24195</v>
      </c>
      <c r="E64" s="51">
        <f>IF($A$19,"n.a.",ROUND(E63*(1+$E108*C113+$D108*D113+$C108*E113),1))</f>
        <v>24607.8</v>
      </c>
      <c r="F64" s="51">
        <f>IF($A$19,"n.a.",ROUND(F63*(1+$F108*C113+$E108*D113+$D108*E113+$C108*F113),1))</f>
        <v>25022.7</v>
      </c>
      <c r="G64" s="51">
        <f>IF($A$19,"n.a.",ROUND(G63*(1+$G108*C113+$F108*D113+$E108*E113+$D108*F113+$C108*G113),1))</f>
        <v>25454.5</v>
      </c>
      <c r="H64" s="51">
        <f>IF($A$19,"n.a.",ROUND(H63*(1+$H108*C113+$G108*D113+$F108*E113+$E108*F113+$D108*G113+$C108*H113),1))</f>
        <v>25902.5</v>
      </c>
      <c r="I64" s="51">
        <f>IF($A$19,"n.a.",ROUND(I63*(1+$I108*C113+$H108*D113+$G108*E113+$F108*F113+$E108*G113+$D108*H113+$C108*I113),1))</f>
        <v>26358.1</v>
      </c>
      <c r="J64" s="51">
        <f>IF($A$19,"n.a.",ROUND(J63*(1+$J108*C113+$I108*D113+$H108*E113+$G108*F113+$F108*G113+$E108*H113+$D108*I113+$C108*J113),1))</f>
        <v>26826.7</v>
      </c>
      <c r="K64" s="51">
        <f>IF($A$19,"n.a.",ROUND(K63*(1+$K108*C113+$J108*D113+$I108*E113+$H108*F113+$G108*G113+$F108*H113+$E108*I113+$D108*J113+$C108*K113),1))</f>
        <v>27299</v>
      </c>
      <c r="L64" s="51">
        <f>IF($A$19,"n.a.",ROUND(L63*(1+$L108*C113+$K108*D113+$J108*E113+$I108*F113+$H108*G113+$G108*H113+$F108*I113+$E108*J113+$D108*K113+$C108*L113),1))</f>
        <v>27771.200000000001</v>
      </c>
      <c r="M64" s="51">
        <f>IF($A$19,"n.a.",ROUND(M63*(1+$M108*C113+$L108*D113+$K108*E113+$J108*F113+$I108*G113+$H108*H113+$G108*I113+$F108*J113+$E108*K113+$D108*L113+$C108*M113),1))</f>
        <v>28240.799999999999</v>
      </c>
      <c r="N64" s="80"/>
      <c r="O64" s="80"/>
      <c r="P64" s="81"/>
      <c r="Q64" s="81"/>
      <c r="R64" s="81"/>
      <c r="S64" s="81"/>
      <c r="T64" s="81"/>
      <c r="U64" s="81"/>
      <c r="V64" s="81"/>
      <c r="W64" s="81"/>
      <c r="X64" s="81"/>
    </row>
    <row r="65" spans="1:24" s="79" customFormat="1" ht="15" customHeight="1">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c r="A67" s="39" t="s">
        <v>21</v>
      </c>
      <c r="B67" s="68">
        <f>IF($A$19,"n.a.",B66)</f>
        <v>29166.2</v>
      </c>
      <c r="C67" s="51">
        <f>IF($A$19,"n.a.",ROUND(C64/C63*C66,1))</f>
        <v>30425.4</v>
      </c>
      <c r="D67" s="51">
        <f t="shared" ref="D67:L67" si="9">IF($A$19,"n.a.",ROUND(D64/D63*D66,1))</f>
        <v>31607.3</v>
      </c>
      <c r="E67" s="51">
        <f t="shared" si="9"/>
        <v>32788</v>
      </c>
      <c r="F67" s="51">
        <f t="shared" si="9"/>
        <v>34003.699999999997</v>
      </c>
      <c r="G67" s="51">
        <f t="shared" si="9"/>
        <v>35279.9</v>
      </c>
      <c r="H67" s="51">
        <f t="shared" si="9"/>
        <v>36614.1</v>
      </c>
      <c r="I67" s="51">
        <f t="shared" si="9"/>
        <v>37998.199999999997</v>
      </c>
      <c r="J67" s="51">
        <f t="shared" si="9"/>
        <v>39442.5</v>
      </c>
      <c r="K67" s="51">
        <f t="shared" si="9"/>
        <v>40936.199999999997</v>
      </c>
      <c r="L67" s="51">
        <f t="shared" si="9"/>
        <v>42472.800000000003</v>
      </c>
      <c r="M67" s="51">
        <f>IF($A$19,"n.a.",ROUND(M64/M63*M66,1))</f>
        <v>44050.9</v>
      </c>
      <c r="N67" s="80"/>
      <c r="O67" s="80"/>
      <c r="P67" s="81"/>
      <c r="Q67" s="81"/>
      <c r="R67" s="81"/>
      <c r="S67" s="81"/>
      <c r="T67" s="81"/>
      <c r="U67" s="81"/>
      <c r="V67" s="81"/>
      <c r="W67" s="81"/>
      <c r="X67" s="81"/>
    </row>
    <row r="68" spans="1:24" s="79" customFormat="1" ht="15" customHeight="1">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c r="A70" s="39" t="s">
        <v>21</v>
      </c>
      <c r="B70" s="68">
        <f>IF($A$19,"n.a.",B69)</f>
        <v>28823</v>
      </c>
      <c r="C70" s="51">
        <f>IF($A$19,"n.a.",ROUND(C69+(C67-C66)*0.75+(B67-B66)*0.25,1))</f>
        <v>30124.3</v>
      </c>
      <c r="D70" s="51">
        <f t="shared" ref="D70:L70" si="10">IF($A$19,"n.a.",ROUND(D69+(D67-D66)*0.75+(C67-C66)*0.25,1))</f>
        <v>31312.400000000001</v>
      </c>
      <c r="E70" s="51">
        <f t="shared" si="10"/>
        <v>32490</v>
      </c>
      <c r="F70" s="51">
        <f t="shared" si="10"/>
        <v>33695.199999999997</v>
      </c>
      <c r="G70" s="51">
        <f t="shared" si="10"/>
        <v>34954.6</v>
      </c>
      <c r="H70" s="51">
        <f t="shared" si="10"/>
        <v>36275.599999999999</v>
      </c>
      <c r="I70" s="51">
        <f t="shared" si="10"/>
        <v>37646.1</v>
      </c>
      <c r="J70" s="51">
        <f t="shared" si="10"/>
        <v>39076</v>
      </c>
      <c r="K70" s="51">
        <f t="shared" si="10"/>
        <v>40558.400000000001</v>
      </c>
      <c r="L70" s="51">
        <f t="shared" si="10"/>
        <v>42084.800000000003</v>
      </c>
      <c r="M70" s="51">
        <f>IF($A$19,"n.a.",ROUND(M69+(M67-M66)*0.75+(L67-L66)*0.25,1))</f>
        <v>43651.9</v>
      </c>
      <c r="N70" s="80"/>
      <c r="O70" s="80"/>
      <c r="P70" s="81"/>
      <c r="Q70" s="81"/>
      <c r="R70" s="81"/>
      <c r="S70" s="81"/>
      <c r="T70" s="81"/>
      <c r="U70" s="81"/>
      <c r="V70" s="81"/>
      <c r="W70" s="81"/>
      <c r="X70" s="81"/>
    </row>
    <row r="71" spans="1:24" s="79" customFormat="1" ht="15" customHeight="1">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c r="A73" s="39" t="s">
        <v>21</v>
      </c>
      <c r="B73" s="82">
        <f>IF($A$19,"n.a.",B72)</f>
        <v>168.24299999999999</v>
      </c>
      <c r="C73" s="85">
        <f t="shared" ref="C73:M73" si="11">IF($A$19,"n.a.",ROUND(C72*(1+C113),3))</f>
        <v>170.505</v>
      </c>
      <c r="D73" s="85">
        <f t="shared" si="11"/>
        <v>173.05500000000001</v>
      </c>
      <c r="E73" s="85">
        <f t="shared" si="11"/>
        <v>173.52099999999999</v>
      </c>
      <c r="F73" s="85">
        <f t="shared" si="11"/>
        <v>173.96299999999999</v>
      </c>
      <c r="G73" s="85">
        <f t="shared" si="11"/>
        <v>174.477</v>
      </c>
      <c r="H73" s="85">
        <f t="shared" si="11"/>
        <v>175.04300000000001</v>
      </c>
      <c r="I73" s="85">
        <f t="shared" si="11"/>
        <v>175.643</v>
      </c>
      <c r="J73" s="85">
        <f t="shared" si="11"/>
        <v>176.22800000000001</v>
      </c>
      <c r="K73" s="85">
        <f t="shared" si="11"/>
        <v>176.67400000000001</v>
      </c>
      <c r="L73" s="85">
        <f t="shared" si="11"/>
        <v>177.119</v>
      </c>
      <c r="M73" s="85">
        <f t="shared" si="11"/>
        <v>177.536</v>
      </c>
      <c r="N73" s="80"/>
      <c r="O73" s="80"/>
      <c r="P73" s="90"/>
      <c r="Q73" s="90"/>
      <c r="R73" s="81"/>
      <c r="S73" s="81"/>
      <c r="T73" s="81"/>
      <c r="U73" s="81"/>
      <c r="V73" s="81"/>
      <c r="W73" s="81"/>
      <c r="X73" s="81"/>
    </row>
    <row r="74" spans="1:24" s="79" customFormat="1" ht="15" customHeight="1">
      <c r="A74" s="64" t="s">
        <v>73</v>
      </c>
      <c r="B74" s="84"/>
      <c r="C74" s="77"/>
      <c r="D74" s="77"/>
      <c r="E74" s="77"/>
      <c r="F74" s="77"/>
      <c r="G74" s="77"/>
      <c r="H74" s="77"/>
      <c r="I74" s="77"/>
      <c r="J74" s="77"/>
      <c r="K74" s="77"/>
      <c r="L74" s="77"/>
      <c r="M74" s="77"/>
      <c r="N74" s="78"/>
      <c r="O74" s="78"/>
      <c r="P74" s="22"/>
      <c r="Q74" s="115"/>
      <c r="R74" s="22"/>
      <c r="S74" s="22"/>
      <c r="T74" s="22"/>
      <c r="U74" s="22"/>
      <c r="V74" s="22"/>
      <c r="W74" s="22"/>
      <c r="X74" s="22"/>
    </row>
    <row r="75" spans="1:24" s="28" customFormat="1" ht="15" customHeight="1">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c r="A76" s="39" t="s">
        <v>21</v>
      </c>
      <c r="B76" s="86">
        <f>IF($A$19,"n.a.",B75)</f>
        <v>4.1879999999999997</v>
      </c>
      <c r="C76" s="87">
        <f>IF($A$19,"n.a.",ROUND(C75+$C109*C13,3))</f>
        <v>4.0869999999999997</v>
      </c>
      <c r="D76" s="87">
        <f>IF($A$19,"n.a.",ROUND(D75+$D109*C13+$C109*D13,3))</f>
        <v>3.9239999999999999</v>
      </c>
      <c r="E76" s="87">
        <f>IF($A$19,"n.a.",ROUND(E75+$E109*C13+$D109*D13+$C109*E13,3))</f>
        <v>3.8969999999999998</v>
      </c>
      <c r="F76" s="87">
        <f>IF($A$19,"n.a.",ROUND(F75+$F109*C13+$E109*D13+$D109*E13+$C109*F13,3))</f>
        <v>3.8719999999999999</v>
      </c>
      <c r="G76" s="87">
        <f>IF($A$19,"n.a.",ROUND(G75+$G109*C13+$F109*D13+$E109*E13+$D109*F13+$C109*G13,3))</f>
        <v>3.8439999999999999</v>
      </c>
      <c r="H76" s="87">
        <f>IF($A$19,"n.a.",ROUND(H75+$H109*C13+$G109*D13+$F109*E13+$E109*F13+$D109*G13+$C109*H13,3))</f>
        <v>3.8180000000000001</v>
      </c>
      <c r="I76" s="87">
        <f>IF($A$19,"n.a.",ROUND(I75+$I109*C13+$H109*D13+$G109*E13+$F109*F13+$E109*G13+$D109*H13+$C109*I13,3))</f>
        <v>3.8</v>
      </c>
      <c r="J76" s="87">
        <f>IF($A$19,"n.a.",ROUND(J75+$J109*C13+$I109*D13+$H109*E13+$G109*F13+$F109*G13+$E109*H13+$D109*I13+$C109*J13,3))</f>
        <v>3.786</v>
      </c>
      <c r="K76" s="87">
        <f>IF($A$19,"n.a.",ROUND(K75+$K109*C13+$J109*D13+$I109*E13+$H109*F13+$G109*G13+$F109*H13+$E109*I13+$D109*J13+$C109*K13,3))</f>
        <v>3.77</v>
      </c>
      <c r="L76" s="87">
        <f>IF($A$19,"n.a.",ROUND(L75+$L109*C13+$K109*D13+$J109*E13+$I109*F13+$H109*G13+$G109*H13+$F109*I13+$E109*J13+$D109*K13+$C109*L13,3))</f>
        <v>3.7490000000000001</v>
      </c>
      <c r="M76" s="87">
        <f>IF($A$19,"n.a.",ROUND(M75+$M109*C13+$L109*D13+$K109*E13+$J109*F13+$I109*G13+$H109*H13+$G109*I13+$F109*J13+$E109*K13+$D109*L13+$C109*M13,3))</f>
        <v>3.72</v>
      </c>
      <c r="N76" s="80"/>
      <c r="O76" s="80"/>
      <c r="P76" s="81"/>
      <c r="Q76" s="116"/>
      <c r="R76" s="81"/>
      <c r="S76" s="81"/>
      <c r="T76" s="81"/>
      <c r="U76" s="81"/>
      <c r="V76" s="81"/>
      <c r="W76" s="81"/>
      <c r="X76" s="81"/>
    </row>
    <row r="77" spans="1:24" s="79" customFormat="1" ht="15" customHeight="1">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c r="A79" s="39" t="s">
        <v>21</v>
      </c>
      <c r="B79" s="82">
        <f>IF($A$19,"n.a.",B78)</f>
        <v>2.4129999999999998</v>
      </c>
      <c r="C79" s="82">
        <f>IF($A$19,"n.a.",C78)</f>
        <v>2.198</v>
      </c>
      <c r="D79" s="82">
        <f t="shared" ref="D79:L79" si="12">IF($A$19,"n.a.",D78)</f>
        <v>2.0750000000000002</v>
      </c>
      <c r="E79" s="82">
        <f t="shared" si="12"/>
        <v>1.9950000000000001</v>
      </c>
      <c r="F79" s="82">
        <f t="shared" si="12"/>
        <v>1.988</v>
      </c>
      <c r="G79" s="82">
        <f t="shared" si="12"/>
        <v>1.992</v>
      </c>
      <c r="H79" s="82">
        <f t="shared" si="12"/>
        <v>1.9870000000000001</v>
      </c>
      <c r="I79" s="82">
        <f t="shared" si="12"/>
        <v>1.986</v>
      </c>
      <c r="J79" s="82">
        <f t="shared" si="12"/>
        <v>1.9870000000000001</v>
      </c>
      <c r="K79" s="82">
        <f t="shared" si="12"/>
        <v>1.9910000000000001</v>
      </c>
      <c r="L79" s="82">
        <f t="shared" si="12"/>
        <v>1.9890000000000001</v>
      </c>
      <c r="M79" s="82">
        <f>IF($A$19,"n.a.",M78)</f>
        <v>1.99</v>
      </c>
      <c r="N79" s="80"/>
      <c r="O79" s="80"/>
    </row>
    <row r="80" spans="1:24" s="79" customFormat="1" ht="15" customHeight="1">
      <c r="A80" s="64" t="s">
        <v>75</v>
      </c>
      <c r="B80" s="84"/>
      <c r="C80" s="88"/>
      <c r="D80" s="88"/>
      <c r="E80" s="88"/>
      <c r="F80" s="88"/>
      <c r="G80" s="88"/>
      <c r="H80" s="88"/>
      <c r="I80" s="88"/>
      <c r="J80" s="88"/>
      <c r="K80" s="88"/>
      <c r="L80" s="88"/>
      <c r="M80" s="88"/>
      <c r="N80" s="78"/>
      <c r="O80" s="78"/>
    </row>
    <row r="81" spans="1:17" s="28" customFormat="1" ht="15" customHeight="1">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c r="A82" s="39" t="s">
        <v>21</v>
      </c>
      <c r="B82" s="82">
        <f>IF($A$19,"n.a.",B81)</f>
        <v>125.223</v>
      </c>
      <c r="C82" s="82">
        <f t="shared" ref="C82:L82" si="13">IF($A$19,"n.a.",C81)</f>
        <v>127.976</v>
      </c>
      <c r="D82" s="82">
        <f t="shared" si="13"/>
        <v>130.631</v>
      </c>
      <c r="E82" s="82">
        <f t="shared" si="13"/>
        <v>133.238</v>
      </c>
      <c r="F82" s="82">
        <f t="shared" si="13"/>
        <v>135.887</v>
      </c>
      <c r="G82" s="82">
        <f t="shared" si="13"/>
        <v>138.595</v>
      </c>
      <c r="H82" s="82">
        <f t="shared" si="13"/>
        <v>141.34899999999999</v>
      </c>
      <c r="I82" s="82">
        <f t="shared" si="13"/>
        <v>144.15700000000001</v>
      </c>
      <c r="J82" s="82">
        <f t="shared" si="13"/>
        <v>147.023</v>
      </c>
      <c r="K82" s="82">
        <f t="shared" si="13"/>
        <v>149.94999999999999</v>
      </c>
      <c r="L82" s="82">
        <f t="shared" si="13"/>
        <v>152.934</v>
      </c>
      <c r="M82" s="82">
        <f>IF($A$19,"n.a.",M81)</f>
        <v>155.97900000000001</v>
      </c>
      <c r="N82" s="80"/>
      <c r="O82" s="80"/>
    </row>
    <row r="83" spans="1:17" s="79" customFormat="1" ht="15" customHeight="1">
      <c r="A83" s="64" t="s">
        <v>76</v>
      </c>
      <c r="B83" s="84"/>
      <c r="C83" s="88"/>
      <c r="D83" s="88"/>
      <c r="E83" s="88"/>
      <c r="F83" s="88"/>
      <c r="G83" s="88"/>
      <c r="H83" s="88"/>
      <c r="I83" s="88"/>
      <c r="J83" s="88"/>
      <c r="K83" s="88"/>
      <c r="L83" s="88"/>
      <c r="M83" s="88"/>
      <c r="N83" s="78"/>
      <c r="O83" s="78"/>
    </row>
    <row r="84" spans="1:17" s="28" customFormat="1" ht="15" customHeight="1">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c r="A85" s="39" t="s">
        <v>21</v>
      </c>
      <c r="B85" s="82">
        <f>IF($A$19,"n.a.",B84)</f>
        <v>168.291</v>
      </c>
      <c r="C85" s="89">
        <f t="shared" ref="C85:L85" si="14">IF($A$19,"n.a.",ROUND((C67/C73)/(C66/C72)*C84,3))</f>
        <v>174.226</v>
      </c>
      <c r="D85" s="89">
        <f t="shared" si="14"/>
        <v>180.143</v>
      </c>
      <c r="E85" s="89">
        <f t="shared" si="14"/>
        <v>185.98699999999999</v>
      </c>
      <c r="F85" s="89">
        <f t="shared" si="14"/>
        <v>191.821</v>
      </c>
      <c r="G85" s="89">
        <f t="shared" si="14"/>
        <v>197.69800000000001</v>
      </c>
      <c r="H85" s="89">
        <f t="shared" si="14"/>
        <v>203.66499999999999</v>
      </c>
      <c r="I85" s="89">
        <f t="shared" si="14"/>
        <v>209.755</v>
      </c>
      <c r="J85" s="89">
        <f t="shared" si="14"/>
        <v>215.99799999999999</v>
      </c>
      <c r="K85" s="89">
        <f t="shared" si="14"/>
        <v>222.416</v>
      </c>
      <c r="L85" s="89">
        <f t="shared" si="14"/>
        <v>229.011</v>
      </c>
      <c r="M85" s="89">
        <f>IF($A$19,"n.a.",ROUND((M67/M73)/(M66/M72)*M84,3))</f>
        <v>235.78200000000001</v>
      </c>
      <c r="N85" s="80"/>
      <c r="O85" s="174"/>
      <c r="Q85" s="90"/>
    </row>
    <row r="86" spans="1:17" s="73" customFormat="1" ht="15" customHeight="1">
      <c r="A86" s="41"/>
      <c r="B86" s="91"/>
      <c r="C86" s="91"/>
      <c r="D86" s="91"/>
      <c r="E86" s="91"/>
      <c r="F86" s="91"/>
      <c r="G86" s="91"/>
      <c r="H86" s="91"/>
      <c r="I86" s="91"/>
      <c r="J86" s="91"/>
      <c r="K86" s="91"/>
      <c r="L86" s="92"/>
      <c r="M86" s="92"/>
    </row>
    <row r="87" spans="1:17" ht="15" customHeight="1">
      <c r="A87" s="93"/>
      <c r="B87" s="54"/>
      <c r="C87" s="54"/>
      <c r="D87" s="54"/>
      <c r="E87" s="54"/>
      <c r="F87" s="54"/>
      <c r="G87" s="54"/>
      <c r="H87" s="54"/>
      <c r="I87" s="54"/>
      <c r="J87" s="54"/>
      <c r="K87" s="54"/>
      <c r="L87" s="54"/>
      <c r="M87" s="54"/>
      <c r="N87" s="94"/>
      <c r="O87" s="94"/>
    </row>
    <row r="88" spans="1:17" s="63" customFormat="1" ht="15" customHeight="1">
      <c r="A88" s="217" t="s">
        <v>32</v>
      </c>
      <c r="B88" s="217"/>
      <c r="C88" s="217"/>
      <c r="D88" s="217"/>
      <c r="E88" s="217"/>
      <c r="F88" s="217"/>
      <c r="G88" s="217"/>
      <c r="H88" s="217"/>
      <c r="I88" s="217"/>
      <c r="J88" s="217"/>
      <c r="K88" s="217"/>
      <c r="L88" s="217"/>
      <c r="M88" s="217"/>
      <c r="N88" s="95"/>
      <c r="O88" s="95"/>
    </row>
    <row r="89" spans="1:17" s="63" customFormat="1" ht="15" customHeight="1">
      <c r="A89" s="170"/>
      <c r="B89" s="170"/>
      <c r="C89" s="170"/>
      <c r="D89" s="170"/>
      <c r="E89" s="170"/>
      <c r="F89" s="170"/>
      <c r="G89" s="170"/>
      <c r="H89" s="170"/>
      <c r="I89" s="170"/>
      <c r="J89" s="170"/>
      <c r="K89" s="170"/>
      <c r="L89" s="170"/>
      <c r="M89" s="170"/>
      <c r="N89" s="95"/>
      <c r="O89" s="95"/>
    </row>
    <row r="90" spans="1:17" ht="15" customHeight="1">
      <c r="A90" s="212" t="s">
        <v>24</v>
      </c>
      <c r="B90" s="212"/>
      <c r="C90" s="212"/>
      <c r="D90" s="212"/>
      <c r="E90" s="212"/>
      <c r="F90" s="212"/>
      <c r="G90" s="212"/>
      <c r="H90" s="212"/>
      <c r="I90" s="212"/>
      <c r="J90" s="212"/>
      <c r="K90" s="212"/>
      <c r="L90" s="212"/>
      <c r="M90" s="212"/>
      <c r="N90" s="98"/>
      <c r="O90" s="98"/>
    </row>
    <row r="91" spans="1:17" ht="15" customHeight="1">
      <c r="A91" s="207"/>
      <c r="B91" s="207"/>
      <c r="C91" s="207"/>
      <c r="D91" s="207"/>
      <c r="E91" s="207"/>
      <c r="F91" s="207"/>
      <c r="G91" s="207"/>
      <c r="H91" s="207"/>
      <c r="I91" s="207"/>
      <c r="J91" s="207"/>
      <c r="K91" s="207"/>
      <c r="L91" s="207"/>
      <c r="M91" s="207"/>
      <c r="N91" s="94"/>
      <c r="O91" s="94"/>
    </row>
    <row r="92" spans="1:17" ht="15" customHeight="1">
      <c r="A92" s="216" t="s">
        <v>114</v>
      </c>
      <c r="B92" s="216"/>
      <c r="C92" s="216"/>
      <c r="D92" s="216"/>
      <c r="E92" s="216"/>
      <c r="F92" s="216"/>
      <c r="G92" s="216"/>
      <c r="H92" s="216"/>
      <c r="I92" s="216"/>
      <c r="J92" s="216"/>
      <c r="K92" s="216"/>
      <c r="L92" s="216"/>
      <c r="M92" s="216"/>
      <c r="N92" s="93"/>
      <c r="O92" s="93"/>
    </row>
    <row r="93" spans="1:17" ht="15" customHeight="1">
      <c r="A93" s="93"/>
      <c r="B93" s="54"/>
      <c r="C93" s="54"/>
      <c r="D93" s="54"/>
      <c r="E93" s="54"/>
      <c r="F93" s="54"/>
      <c r="G93" s="54"/>
      <c r="H93" s="54"/>
      <c r="I93" s="54"/>
      <c r="J93" s="54"/>
      <c r="K93" s="54"/>
      <c r="L93" s="54"/>
      <c r="M93" s="54"/>
      <c r="N93" s="93"/>
      <c r="O93" s="93"/>
    </row>
    <row r="94" spans="1:17" ht="15" customHeight="1">
      <c r="A94" s="212" t="s">
        <v>25</v>
      </c>
      <c r="B94" s="212"/>
      <c r="C94" s="212"/>
      <c r="D94" s="212"/>
      <c r="E94" s="212"/>
      <c r="F94" s="212"/>
      <c r="G94" s="212"/>
      <c r="H94" s="212"/>
      <c r="I94" s="212"/>
      <c r="J94" s="212"/>
      <c r="K94" s="212"/>
      <c r="L94" s="212"/>
      <c r="M94" s="212"/>
      <c r="N94" s="93"/>
      <c r="O94" s="93"/>
    </row>
    <row r="95" spans="1:17" ht="15" customHeight="1">
      <c r="A95" s="93"/>
      <c r="B95" s="97"/>
      <c r="C95" s="97"/>
      <c r="D95" s="97"/>
      <c r="E95" s="97"/>
      <c r="F95" s="97"/>
      <c r="G95" s="97"/>
      <c r="H95" s="97"/>
      <c r="I95" s="97"/>
      <c r="J95" s="97"/>
      <c r="K95" s="97"/>
      <c r="L95" s="97"/>
      <c r="M95" s="97"/>
      <c r="N95" s="93"/>
      <c r="O95" s="93"/>
    </row>
    <row r="96" spans="1:17" ht="15" customHeight="1">
      <c r="A96" s="212" t="s">
        <v>20</v>
      </c>
      <c r="B96" s="212"/>
      <c r="C96" s="212"/>
      <c r="D96" s="212"/>
      <c r="E96" s="212"/>
      <c r="F96" s="212"/>
      <c r="G96" s="212"/>
      <c r="H96" s="212"/>
      <c r="I96" s="212"/>
      <c r="J96" s="212"/>
      <c r="K96" s="212"/>
      <c r="L96" s="212"/>
      <c r="M96" s="212"/>
      <c r="N96" s="98"/>
      <c r="O96" s="98"/>
    </row>
    <row r="97" spans="1:15" s="28" customFormat="1" ht="13.5" customHeight="1">
      <c r="A97" s="168"/>
      <c r="B97" s="168"/>
      <c r="C97" s="168"/>
      <c r="D97" s="168"/>
      <c r="E97" s="168"/>
      <c r="F97" s="168"/>
      <c r="G97" s="168"/>
      <c r="H97" s="168"/>
      <c r="I97" s="168"/>
      <c r="J97" s="168"/>
      <c r="K97" s="168"/>
      <c r="L97" s="168"/>
      <c r="M97" s="168"/>
      <c r="N97" s="99"/>
      <c r="O97" s="99"/>
    </row>
    <row r="98" spans="1:15" ht="30.75" customHeight="1">
      <c r="A98" s="216" t="s">
        <v>108</v>
      </c>
      <c r="B98" s="216"/>
      <c r="C98" s="216"/>
      <c r="D98" s="216"/>
      <c r="E98" s="216"/>
      <c r="F98" s="216"/>
      <c r="G98" s="216"/>
      <c r="H98" s="216"/>
      <c r="I98" s="216"/>
      <c r="J98" s="216"/>
      <c r="K98" s="216"/>
      <c r="L98" s="216"/>
      <c r="M98" s="216"/>
      <c r="N98" s="98"/>
      <c r="O98" s="98"/>
    </row>
    <row r="99" spans="1:15" ht="15" customHeight="1">
      <c r="A99" s="93"/>
      <c r="B99" s="97"/>
      <c r="C99" s="97"/>
      <c r="D99" s="97"/>
      <c r="E99" s="97"/>
      <c r="F99" s="97"/>
      <c r="G99" s="97"/>
      <c r="H99" s="97"/>
      <c r="I99" s="97"/>
      <c r="J99" s="97"/>
      <c r="K99" s="97"/>
      <c r="L99" s="97"/>
      <c r="M99" s="97"/>
      <c r="N99" s="98"/>
      <c r="O99" s="98"/>
    </row>
    <row r="100" spans="1:15" ht="15" customHeight="1">
      <c r="A100" s="211" t="s">
        <v>18</v>
      </c>
      <c r="B100" s="211"/>
      <c r="C100" s="211"/>
      <c r="D100" s="211"/>
      <c r="E100" s="211"/>
      <c r="F100" s="211"/>
      <c r="G100" s="211"/>
      <c r="H100" s="211"/>
      <c r="I100" s="211"/>
      <c r="J100" s="211"/>
      <c r="K100" s="211"/>
      <c r="L100" s="211"/>
      <c r="M100" s="211"/>
      <c r="N100" s="98"/>
      <c r="O100" s="98"/>
    </row>
    <row r="101" spans="1:15" ht="15" customHeight="1">
      <c r="A101" s="93"/>
      <c r="B101" s="97"/>
      <c r="C101" s="97"/>
      <c r="D101" s="97"/>
      <c r="E101" s="97"/>
      <c r="F101" s="97"/>
      <c r="G101" s="97"/>
      <c r="H101" s="97"/>
      <c r="I101" s="97"/>
      <c r="J101" s="97"/>
      <c r="K101" s="97"/>
      <c r="L101" s="97"/>
      <c r="M101" s="97"/>
      <c r="N101" s="93"/>
      <c r="O101" s="93"/>
    </row>
    <row r="102" spans="1:15" ht="15" customHeight="1">
      <c r="A102" s="212" t="s">
        <v>16</v>
      </c>
      <c r="B102" s="212"/>
      <c r="C102" s="212"/>
      <c r="D102" s="212"/>
      <c r="E102" s="212"/>
      <c r="F102" s="212"/>
      <c r="G102" s="212"/>
      <c r="H102" s="212"/>
      <c r="I102" s="212"/>
      <c r="J102" s="212"/>
      <c r="K102" s="212"/>
      <c r="L102" s="212"/>
      <c r="M102" s="212"/>
      <c r="N102" s="98"/>
      <c r="O102" s="98"/>
    </row>
    <row r="103" spans="1:15" ht="15" customHeight="1">
      <c r="A103" s="93"/>
      <c r="B103" s="97"/>
      <c r="C103" s="97"/>
      <c r="D103" s="97"/>
      <c r="E103" s="97"/>
      <c r="F103" s="97"/>
      <c r="G103" s="97"/>
      <c r="H103" s="97"/>
      <c r="I103" s="97"/>
      <c r="J103" s="97"/>
      <c r="K103" s="97"/>
      <c r="L103" s="97"/>
      <c r="M103" s="97"/>
      <c r="N103" s="98"/>
      <c r="O103" s="98"/>
    </row>
    <row r="104" spans="1:15" s="28" customFormat="1" ht="15" customHeight="1">
      <c r="A104" s="222" t="s">
        <v>14</v>
      </c>
      <c r="B104" s="222"/>
      <c r="C104" s="222"/>
      <c r="D104" s="222"/>
      <c r="E104" s="222"/>
      <c r="F104" s="222"/>
      <c r="G104" s="222"/>
      <c r="H104" s="222"/>
      <c r="I104" s="222"/>
      <c r="J104" s="222"/>
      <c r="K104" s="222"/>
      <c r="L104" s="222"/>
      <c r="M104" s="222"/>
      <c r="N104" s="208"/>
      <c r="O104" s="208"/>
    </row>
    <row r="105" spans="1:15" ht="15" customHeight="1">
      <c r="A105" s="100"/>
      <c r="B105" s="101"/>
      <c r="C105" s="101"/>
      <c r="D105" s="101"/>
      <c r="E105" s="101"/>
      <c r="F105" s="101"/>
      <c r="G105" s="101"/>
      <c r="H105" s="101"/>
      <c r="I105" s="101"/>
      <c r="J105" s="101"/>
      <c r="K105" s="101"/>
      <c r="L105" s="101"/>
      <c r="M105" s="101"/>
    </row>
    <row r="106" spans="1:15" ht="15" hidden="1" customHeight="1">
      <c r="A106" s="93"/>
      <c r="B106" s="97"/>
      <c r="C106" s="97"/>
      <c r="D106" s="97"/>
      <c r="E106" s="97"/>
      <c r="F106" s="97"/>
      <c r="G106" s="97"/>
      <c r="H106" s="97"/>
      <c r="I106" s="97"/>
      <c r="J106" s="97"/>
      <c r="K106" s="97"/>
      <c r="L106" s="97"/>
      <c r="M106" s="97"/>
    </row>
    <row r="107" spans="1:15" s="179" customFormat="1" ht="15" hidden="1" customHeight="1">
      <c r="A107" s="177" t="s">
        <v>26</v>
      </c>
      <c r="B107" s="178"/>
      <c r="C107" s="178"/>
      <c r="D107" s="178"/>
      <c r="E107" s="178"/>
      <c r="F107" s="178"/>
      <c r="G107" s="178"/>
      <c r="H107" s="178"/>
      <c r="I107" s="178"/>
      <c r="J107" s="178"/>
      <c r="K107" s="178"/>
      <c r="L107" s="178"/>
      <c r="M107" s="178"/>
      <c r="N107" s="209"/>
      <c r="O107" s="209"/>
    </row>
    <row r="108" spans="1:15" ht="15" hidden="1" customHeight="1">
      <c r="A108" s="4" t="s">
        <v>34</v>
      </c>
      <c r="C108" s="102">
        <v>0.56184599999999996</v>
      </c>
      <c r="D108" s="102">
        <v>1.8374000000000001E-2</v>
      </c>
      <c r="E108" s="102">
        <v>1.7229999999999999E-2</v>
      </c>
      <c r="F108" s="102">
        <v>1.6560999999999999E-2</v>
      </c>
      <c r="G108" s="102">
        <v>1.6086E-2</v>
      </c>
      <c r="H108" s="102">
        <v>1.5716999999999998E-2</v>
      </c>
      <c r="I108" s="102">
        <v>1.5415999999999999E-2</v>
      </c>
      <c r="J108" s="102">
        <v>1.5162E-2</v>
      </c>
      <c r="K108" s="102">
        <v>1.4940999999999999E-2</v>
      </c>
      <c r="L108" s="102">
        <v>1.4747E-2</v>
      </c>
      <c r="M108" s="102">
        <v>1.4572999999999999E-2</v>
      </c>
    </row>
    <row r="109" spans="1:15" ht="15" hidden="1" customHeight="1">
      <c r="A109" s="4" t="s">
        <v>35</v>
      </c>
      <c r="C109" s="102">
        <v>5.8486999999999997E-2</v>
      </c>
      <c r="D109" s="102">
        <v>5.6231999999999997E-2</v>
      </c>
      <c r="E109" s="102">
        <v>5.3977999999999998E-2</v>
      </c>
      <c r="F109" s="102">
        <v>5.1722999999999998E-2</v>
      </c>
      <c r="G109" s="102">
        <v>4.9468999999999999E-2</v>
      </c>
      <c r="H109" s="102">
        <v>4.7213999999999999E-2</v>
      </c>
      <c r="I109" s="102">
        <v>4.496E-2</v>
      </c>
      <c r="J109" s="102">
        <v>4.2705E-2</v>
      </c>
      <c r="K109" s="102">
        <v>4.0451000000000001E-2</v>
      </c>
      <c r="L109" s="102">
        <v>3.8196000000000001E-2</v>
      </c>
      <c r="M109" s="102">
        <v>3.5942000000000002E-2</v>
      </c>
    </row>
    <row r="110" spans="1:15" ht="15" hidden="1" customHeight="1">
      <c r="A110" s="4" t="s">
        <v>33</v>
      </c>
      <c r="C110" s="102">
        <v>0.93609200000000004</v>
      </c>
      <c r="D110" s="102">
        <v>0.93604299999999996</v>
      </c>
      <c r="E110" s="102">
        <v>0.93957999999999997</v>
      </c>
      <c r="F110" s="102">
        <v>0.94164899999999996</v>
      </c>
      <c r="G110" s="102">
        <v>0.94311699999999998</v>
      </c>
      <c r="H110" s="102">
        <v>0.94425499999999996</v>
      </c>
      <c r="I110" s="102">
        <v>0.94518500000000005</v>
      </c>
      <c r="J110" s="102">
        <v>0.94597200000000004</v>
      </c>
      <c r="K110" s="102">
        <v>0.94665299999999997</v>
      </c>
      <c r="L110" s="102">
        <v>0.94725400000000004</v>
      </c>
      <c r="M110" s="102">
        <v>0.94779199999999997</v>
      </c>
    </row>
    <row r="111" spans="1:15" ht="15" hidden="1" customHeight="1"/>
    <row r="112" spans="1:15" ht="15" hidden="1" customHeight="1">
      <c r="A112" s="4" t="s">
        <v>36</v>
      </c>
      <c r="B112" s="183">
        <f>B73</f>
        <v>168.24299999999999</v>
      </c>
      <c r="C112" s="182">
        <f t="shared" ref="C112:M112" si="15">B112*(C72/B72+C13/100)</f>
        <v>170.49375700000002</v>
      </c>
      <c r="D112" s="182">
        <f t="shared" si="15"/>
        <v>173.03358869764725</v>
      </c>
      <c r="E112" s="182">
        <f t="shared" si="15"/>
        <v>173.49031253919165</v>
      </c>
      <c r="F112" s="182">
        <f t="shared" si="15"/>
        <v>173.92302034639451</v>
      </c>
      <c r="G112" s="182">
        <f t="shared" si="15"/>
        <v>174.42740248403024</v>
      </c>
      <c r="H112" s="182">
        <f t="shared" si="15"/>
        <v>174.98433730423233</v>
      </c>
      <c r="I112" s="182">
        <f t="shared" si="15"/>
        <v>175.57577303203954</v>
      </c>
      <c r="J112" s="182">
        <f t="shared" si="15"/>
        <v>176.15195126597158</v>
      </c>
      <c r="K112" s="182">
        <f t="shared" si="15"/>
        <v>176.58890548780045</v>
      </c>
      <c r="L112" s="182">
        <f t="shared" si="15"/>
        <v>177.02580286832733</v>
      </c>
      <c r="M112" s="182">
        <f t="shared" si="15"/>
        <v>177.43392905234447</v>
      </c>
    </row>
    <row r="113" spans="1:13" ht="15" hidden="1" customHeight="1">
      <c r="A113" s="4" t="s">
        <v>40</v>
      </c>
      <c r="C113" s="98">
        <f t="shared" ref="C113:M113" si="16">C110*(C112/C72-1)</f>
        <v>-9.2282363007576947E-4</v>
      </c>
      <c r="D113" s="98">
        <f t="shared" si="16"/>
        <v>-1.8432626369902412E-3</v>
      </c>
      <c r="E113" s="98">
        <f t="shared" si="16"/>
        <v>-2.7845569947376448E-3</v>
      </c>
      <c r="F113" s="98">
        <f t="shared" si="16"/>
        <v>-3.7262779607474417E-3</v>
      </c>
      <c r="G113" s="98">
        <f t="shared" si="16"/>
        <v>-4.6678226216882203E-3</v>
      </c>
      <c r="H113" s="98">
        <f t="shared" si="16"/>
        <v>-5.6091133829011966E-3</v>
      </c>
      <c r="I113" s="98">
        <f t="shared" si="16"/>
        <v>-6.5501108687829948E-3</v>
      </c>
      <c r="J113" s="98">
        <f t="shared" si="16"/>
        <v>-7.4909760924674242E-3</v>
      </c>
      <c r="K113" s="98">
        <f t="shared" si="16"/>
        <v>-8.4322679892759704E-3</v>
      </c>
      <c r="L113" s="98">
        <f t="shared" si="16"/>
        <v>-9.373187503931641E-3</v>
      </c>
      <c r="M113" s="98">
        <f t="shared" si="16"/>
        <v>-1.0313832894542057E-2</v>
      </c>
    </row>
    <row r="114" spans="1:13" ht="15" hidden="1" customHeight="1">
      <c r="C114" s="98"/>
      <c r="D114" s="98"/>
      <c r="E114" s="98"/>
      <c r="F114" s="98"/>
      <c r="G114" s="98"/>
      <c r="H114" s="98"/>
      <c r="I114" s="98"/>
      <c r="J114" s="98"/>
      <c r="K114" s="98"/>
      <c r="L114" s="98"/>
      <c r="M114" s="98"/>
    </row>
    <row r="115" spans="1:13" ht="15" hidden="1" customHeight="1">
      <c r="A115" s="4" t="s">
        <v>43</v>
      </c>
      <c r="C115" s="98">
        <f>C76-C75</f>
        <v>-6.0000000000002274E-3</v>
      </c>
      <c r="D115" s="98">
        <f t="shared" ref="D115:M115" si="17">D76-D75</f>
        <v>-1.1000000000000121E-2</v>
      </c>
      <c r="E115" s="98">
        <f t="shared" si="17"/>
        <v>-1.7000000000000348E-2</v>
      </c>
      <c r="F115" s="98">
        <f t="shared" si="17"/>
        <v>-2.2000000000000242E-2</v>
      </c>
      <c r="G115" s="98">
        <f t="shared" si="17"/>
        <v>-2.7000000000000135E-2</v>
      </c>
      <c r="H115" s="98">
        <f t="shared" si="17"/>
        <v>-3.2000000000000028E-2</v>
      </c>
      <c r="I115" s="98">
        <f t="shared" si="17"/>
        <v>-3.6000000000000032E-2</v>
      </c>
      <c r="J115" s="98">
        <f t="shared" si="17"/>
        <v>-4.0000000000000036E-2</v>
      </c>
      <c r="K115" s="98">
        <f t="shared" si="17"/>
        <v>-4.4999999999999929E-2</v>
      </c>
      <c r="L115" s="98">
        <f t="shared" si="17"/>
        <v>-4.8000000000000043E-2</v>
      </c>
      <c r="M115" s="98">
        <f t="shared" si="17"/>
        <v>-5.1999999999999602E-2</v>
      </c>
    </row>
    <row r="116" spans="1:13" ht="15" hidden="1" customHeight="1">
      <c r="C116" s="98"/>
      <c r="D116" s="98"/>
      <c r="E116" s="98"/>
      <c r="F116" s="98"/>
      <c r="G116" s="98"/>
      <c r="H116" s="98"/>
      <c r="I116" s="98"/>
      <c r="J116" s="98"/>
      <c r="K116" s="98"/>
      <c r="L116" s="98"/>
      <c r="M116" s="98"/>
    </row>
    <row r="117" spans="1:13" ht="15" hidden="1" customHeight="1">
      <c r="A117" s="4" t="s">
        <v>42</v>
      </c>
      <c r="B117" s="184"/>
      <c r="C117" s="184">
        <v>52.194000000000003</v>
      </c>
      <c r="D117" s="184">
        <v>72.44</v>
      </c>
      <c r="E117" s="184">
        <v>41.603999999999999</v>
      </c>
      <c r="F117" s="184">
        <v>33.165999999999997</v>
      </c>
      <c r="G117" s="184">
        <v>27.507000000000001</v>
      </c>
      <c r="H117" s="184">
        <v>24.802</v>
      </c>
      <c r="I117" s="184">
        <v>18.082999999999998</v>
      </c>
      <c r="J117" s="184">
        <v>16.268999999999998</v>
      </c>
      <c r="K117" s="184">
        <v>12.265000000000001</v>
      </c>
      <c r="L117" s="184">
        <v>12.07</v>
      </c>
      <c r="M117" s="184">
        <v>10.215</v>
      </c>
    </row>
    <row r="118" spans="1:13" ht="15" hidden="1" customHeight="1">
      <c r="C118" s="98">
        <v>0</v>
      </c>
      <c r="D118" s="98">
        <v>54.98</v>
      </c>
      <c r="E118" s="98">
        <v>76.132999999999996</v>
      </c>
      <c r="F118" s="98">
        <v>43.307000000000002</v>
      </c>
      <c r="G118" s="98">
        <v>34.496000000000002</v>
      </c>
      <c r="H118" s="98">
        <v>28.579000000000001</v>
      </c>
      <c r="I118" s="98">
        <v>25.954000000000001</v>
      </c>
      <c r="J118" s="98">
        <v>19.027000000000001</v>
      </c>
      <c r="K118" s="98">
        <v>16.891999999999999</v>
      </c>
      <c r="L118" s="98">
        <v>12.59</v>
      </c>
      <c r="M118" s="98">
        <v>12.39</v>
      </c>
    </row>
    <row r="119" spans="1:13" ht="15" hidden="1" customHeight="1">
      <c r="C119" s="98">
        <v>0</v>
      </c>
      <c r="D119" s="98">
        <v>0</v>
      </c>
      <c r="E119" s="98">
        <v>56.722999999999999</v>
      </c>
      <c r="F119" s="98">
        <v>80.096000000000004</v>
      </c>
      <c r="G119" s="98">
        <v>45.121000000000002</v>
      </c>
      <c r="H119" s="98">
        <v>35.911999999999999</v>
      </c>
      <c r="I119" s="98">
        <v>29.72</v>
      </c>
      <c r="J119" s="98">
        <v>27.184000000000001</v>
      </c>
      <c r="K119" s="98">
        <v>20.036999999999999</v>
      </c>
      <c r="L119" s="98">
        <v>17.55</v>
      </c>
      <c r="M119" s="98">
        <v>12.930999999999999</v>
      </c>
    </row>
    <row r="120" spans="1:13" ht="15" hidden="1" customHeight="1">
      <c r="C120" s="98">
        <v>0</v>
      </c>
      <c r="D120" s="98">
        <v>0</v>
      </c>
      <c r="E120" s="98">
        <v>0</v>
      </c>
      <c r="F120" s="98">
        <v>60.441000000000003</v>
      </c>
      <c r="G120" s="98">
        <v>85.403000000000006</v>
      </c>
      <c r="H120" s="98">
        <v>48.331000000000003</v>
      </c>
      <c r="I120" s="98">
        <v>38.578000000000003</v>
      </c>
      <c r="J120" s="98">
        <v>31.995000000000001</v>
      </c>
      <c r="K120" s="98">
        <v>28.98</v>
      </c>
      <c r="L120" s="98">
        <v>21.3</v>
      </c>
      <c r="M120" s="98">
        <v>18.655999999999999</v>
      </c>
    </row>
    <row r="121" spans="1:13" ht="15" hidden="1" customHeight="1">
      <c r="C121" s="98">
        <v>0</v>
      </c>
      <c r="D121" s="98">
        <v>0</v>
      </c>
      <c r="E121" s="98">
        <v>0</v>
      </c>
      <c r="F121" s="98">
        <v>0</v>
      </c>
      <c r="G121" s="98">
        <v>63.893000000000001</v>
      </c>
      <c r="H121" s="98">
        <v>89.099000000000004</v>
      </c>
      <c r="I121" s="98">
        <v>50.652999999999999</v>
      </c>
      <c r="J121" s="98">
        <v>40.546999999999997</v>
      </c>
      <c r="K121" s="98">
        <v>33.700000000000003</v>
      </c>
      <c r="L121" s="98">
        <v>30.224</v>
      </c>
      <c r="M121" s="98">
        <v>22.152000000000001</v>
      </c>
    </row>
    <row r="122" spans="1:13" ht="15" hidden="1" customHeight="1">
      <c r="C122" s="98">
        <v>0</v>
      </c>
      <c r="D122" s="98">
        <v>0</v>
      </c>
      <c r="E122" s="98">
        <v>0</v>
      </c>
      <c r="F122" s="98">
        <v>0</v>
      </c>
      <c r="G122" s="98">
        <v>0</v>
      </c>
      <c r="H122" s="98">
        <v>68.037000000000006</v>
      </c>
      <c r="I122" s="98">
        <v>94.483999999999995</v>
      </c>
      <c r="J122" s="98">
        <v>53.69</v>
      </c>
      <c r="K122" s="98">
        <v>43.116</v>
      </c>
      <c r="L122" s="98">
        <v>35.887999999999998</v>
      </c>
      <c r="M122" s="98">
        <v>32.186</v>
      </c>
    </row>
    <row r="123" spans="1:13" ht="15" hidden="1" customHeight="1">
      <c r="C123" s="98">
        <v>0</v>
      </c>
      <c r="D123" s="98">
        <v>0</v>
      </c>
      <c r="E123" s="98">
        <v>0</v>
      </c>
      <c r="F123" s="98">
        <v>0</v>
      </c>
      <c r="G123" s="98">
        <v>0</v>
      </c>
      <c r="H123" s="98">
        <v>0</v>
      </c>
      <c r="I123" s="98">
        <v>70.947999999999993</v>
      </c>
      <c r="J123" s="98">
        <v>99.77</v>
      </c>
      <c r="K123" s="98">
        <v>56.667999999999999</v>
      </c>
      <c r="L123" s="98">
        <v>45.654000000000003</v>
      </c>
      <c r="M123" s="98">
        <v>38.055999999999997</v>
      </c>
    </row>
    <row r="124" spans="1:13" ht="15" hidden="1" customHeight="1">
      <c r="C124" s="98">
        <v>0</v>
      </c>
      <c r="D124" s="98">
        <v>0</v>
      </c>
      <c r="E124" s="98">
        <v>0</v>
      </c>
      <c r="F124" s="98">
        <v>0</v>
      </c>
      <c r="G124" s="98">
        <v>0</v>
      </c>
      <c r="H124" s="98">
        <v>0</v>
      </c>
      <c r="I124" s="98">
        <v>0</v>
      </c>
      <c r="J124" s="98">
        <v>74.688000000000002</v>
      </c>
      <c r="K124" s="98">
        <v>103.9</v>
      </c>
      <c r="L124" s="98">
        <v>58.811</v>
      </c>
      <c r="M124" s="98">
        <v>47.381</v>
      </c>
    </row>
    <row r="125" spans="1:13" ht="15" hidden="1" customHeight="1">
      <c r="C125" s="98">
        <v>0</v>
      </c>
      <c r="D125" s="98">
        <v>0</v>
      </c>
      <c r="E125" s="98">
        <v>0</v>
      </c>
      <c r="F125" s="98">
        <v>0</v>
      </c>
      <c r="G125" s="98">
        <v>0</v>
      </c>
      <c r="H125" s="98">
        <v>0</v>
      </c>
      <c r="I125" s="98">
        <v>0</v>
      </c>
      <c r="J125" s="98">
        <v>0</v>
      </c>
      <c r="K125" s="98">
        <v>78.212000000000003</v>
      </c>
      <c r="L125" s="98">
        <v>110.358</v>
      </c>
      <c r="M125" s="98">
        <v>62.250999999999998</v>
      </c>
    </row>
    <row r="126" spans="1:13" ht="15" hidden="1" customHeight="1">
      <c r="C126" s="98">
        <v>0</v>
      </c>
      <c r="D126" s="98">
        <v>0</v>
      </c>
      <c r="E126" s="98">
        <v>0</v>
      </c>
      <c r="F126" s="98">
        <v>0</v>
      </c>
      <c r="G126" s="98">
        <v>0</v>
      </c>
      <c r="H126" s="98">
        <v>0</v>
      </c>
      <c r="I126" s="98">
        <v>0</v>
      </c>
      <c r="J126" s="98">
        <v>0</v>
      </c>
      <c r="K126" s="98">
        <v>0</v>
      </c>
      <c r="L126" s="98">
        <v>81.424000000000007</v>
      </c>
      <c r="M126" s="98">
        <v>113.93300000000001</v>
      </c>
    </row>
    <row r="127" spans="1:13" ht="15" hidden="1" customHeight="1">
      <c r="C127" s="98">
        <v>0</v>
      </c>
      <c r="D127" s="98">
        <v>0</v>
      </c>
      <c r="E127" s="98">
        <v>0</v>
      </c>
      <c r="F127" s="98">
        <v>0</v>
      </c>
      <c r="G127" s="98">
        <v>0</v>
      </c>
      <c r="H127" s="98">
        <v>0</v>
      </c>
      <c r="I127" s="98">
        <v>0</v>
      </c>
      <c r="J127" s="98">
        <v>0</v>
      </c>
      <c r="K127" s="98">
        <v>0</v>
      </c>
      <c r="L127" s="98">
        <v>0</v>
      </c>
      <c r="M127" s="98">
        <v>85.108000000000004</v>
      </c>
    </row>
    <row r="128" spans="1:13" ht="15" hidden="1" customHeight="1">
      <c r="C128" s="98"/>
      <c r="D128" s="98"/>
      <c r="E128" s="98"/>
      <c r="F128" s="98"/>
      <c r="G128" s="98"/>
      <c r="H128" s="98"/>
      <c r="I128" s="98"/>
      <c r="J128" s="98"/>
      <c r="K128" s="98"/>
      <c r="L128" s="98"/>
      <c r="M128" s="98"/>
    </row>
    <row r="129" spans="1:13" ht="15" hidden="1" customHeight="1">
      <c r="A129" s="4" t="s">
        <v>44</v>
      </c>
      <c r="C129" s="98">
        <v>1.2999999999999999E-2</v>
      </c>
      <c r="D129" s="98">
        <v>-6.2E-2</v>
      </c>
      <c r="E129" s="98">
        <v>-0.123</v>
      </c>
      <c r="F129" s="98">
        <v>-0.14000000000000001</v>
      </c>
      <c r="G129" s="98">
        <v>-0.215</v>
      </c>
      <c r="H129" s="98">
        <v>-0.28899999999999998</v>
      </c>
      <c r="I129" s="98">
        <v>-0.378</v>
      </c>
      <c r="J129" s="98">
        <v>-0.57699999999999996</v>
      </c>
      <c r="K129" s="98">
        <v>-0.67700000000000005</v>
      </c>
      <c r="L129" s="98">
        <v>-0.79100000000000004</v>
      </c>
      <c r="M129" s="98">
        <v>-0.98199999999999998</v>
      </c>
    </row>
    <row r="130" spans="1:13" ht="15" hidden="1" customHeight="1"/>
    <row r="131" spans="1:13" ht="15" hidden="1" customHeight="1">
      <c r="A131" s="4" t="s">
        <v>31</v>
      </c>
      <c r="C131" s="180">
        <f>C27+C28+C30-C24</f>
        <v>1.6300000000000001</v>
      </c>
      <c r="D131" s="180">
        <f t="shared" ref="D131:L131" si="18">D27+D28+D30-D24</f>
        <v>3.9220000000000006</v>
      </c>
      <c r="E131" s="180">
        <f t="shared" si="18"/>
        <v>6.2370000000000001</v>
      </c>
      <c r="F131" s="180">
        <f t="shared" si="18"/>
        <v>8.5990000000000002</v>
      </c>
      <c r="G131" s="180">
        <f t="shared" si="18"/>
        <v>11.036999999999999</v>
      </c>
      <c r="H131" s="180">
        <f t="shared" si="18"/>
        <v>13.629000000000001</v>
      </c>
      <c r="I131" s="180">
        <f t="shared" si="18"/>
        <v>16.514000000000003</v>
      </c>
      <c r="J131" s="180">
        <f t="shared" si="18"/>
        <v>19.827999999999999</v>
      </c>
      <c r="K131" s="180">
        <f t="shared" si="18"/>
        <v>23.495999999999999</v>
      </c>
      <c r="L131" s="180">
        <f t="shared" si="18"/>
        <v>27.259000000000004</v>
      </c>
      <c r="M131" s="180">
        <f>M27+M28+M30-M24</f>
        <v>31.669000000000004</v>
      </c>
    </row>
    <row r="132" spans="1:13" ht="15" hidden="1" customHeight="1"/>
    <row r="133" spans="1:13" ht="15" hidden="1" customHeight="1">
      <c r="A133" s="4" t="s">
        <v>29</v>
      </c>
      <c r="C133" s="3">
        <v>1.0500000000000001E-2</v>
      </c>
      <c r="D133" s="3">
        <v>3.7900000000000003E-2</v>
      </c>
      <c r="E133" s="3">
        <v>3.73E-2</v>
      </c>
      <c r="F133" s="3">
        <v>3.8300000000000001E-2</v>
      </c>
      <c r="G133" s="3">
        <v>3.9300000000000002E-2</v>
      </c>
      <c r="H133" s="3">
        <v>4.0300000000000002E-2</v>
      </c>
      <c r="I133" s="3">
        <v>4.1099999999999998E-2</v>
      </c>
      <c r="J133" s="3">
        <v>4.2200000000000001E-2</v>
      </c>
      <c r="K133" s="3">
        <v>4.3200000000000002E-2</v>
      </c>
      <c r="L133" s="3">
        <v>4.4499999999999998E-2</v>
      </c>
      <c r="M133" s="3">
        <v>4.5600000000000002E-2</v>
      </c>
    </row>
    <row r="134" spans="1:13" ht="15" hidden="1" customHeight="1">
      <c r="C134" s="3">
        <v>0</v>
      </c>
      <c r="D134" s="3">
        <v>1.8499999999999999E-2</v>
      </c>
      <c r="E134" s="3">
        <v>3.6499999999999998E-2</v>
      </c>
      <c r="F134" s="3">
        <v>3.78E-2</v>
      </c>
      <c r="G134" s="3">
        <v>3.8699999999999998E-2</v>
      </c>
      <c r="H134" s="3">
        <v>3.9800000000000002E-2</v>
      </c>
      <c r="I134" s="3">
        <v>4.1000000000000002E-2</v>
      </c>
      <c r="J134" s="3">
        <v>4.2000000000000003E-2</v>
      </c>
      <c r="K134" s="3">
        <v>4.3200000000000002E-2</v>
      </c>
      <c r="L134" s="3">
        <v>4.4499999999999998E-2</v>
      </c>
      <c r="M134" s="3">
        <v>4.5900000000000003E-2</v>
      </c>
    </row>
    <row r="135" spans="1:13" ht="15" hidden="1" customHeight="1">
      <c r="C135" s="3">
        <v>0</v>
      </c>
      <c r="D135" s="3">
        <v>0</v>
      </c>
      <c r="E135" s="3">
        <v>1.84E-2</v>
      </c>
      <c r="F135" s="3">
        <v>3.5999999999999997E-2</v>
      </c>
      <c r="G135" s="3">
        <v>3.6999999999999998E-2</v>
      </c>
      <c r="H135" s="3">
        <v>3.8199999999999998E-2</v>
      </c>
      <c r="I135" s="3">
        <v>3.9199999999999999E-2</v>
      </c>
      <c r="J135" s="3">
        <v>4.02E-2</v>
      </c>
      <c r="K135" s="3">
        <v>4.1599999999999998E-2</v>
      </c>
      <c r="L135" s="3">
        <v>4.2799999999999998E-2</v>
      </c>
      <c r="M135" s="3">
        <v>4.3999999999999997E-2</v>
      </c>
    </row>
    <row r="136" spans="1:13" ht="15" hidden="1" customHeight="1">
      <c r="C136" s="3">
        <v>0</v>
      </c>
      <c r="D136" s="3">
        <v>0</v>
      </c>
      <c r="E136" s="3">
        <v>0</v>
      </c>
      <c r="F136" s="3">
        <v>1.8200000000000001E-2</v>
      </c>
      <c r="G136" s="3">
        <v>3.5700000000000003E-2</v>
      </c>
      <c r="H136" s="3">
        <v>3.6700000000000003E-2</v>
      </c>
      <c r="I136" s="3">
        <v>3.78E-2</v>
      </c>
      <c r="J136" s="3">
        <v>3.8899999999999997E-2</v>
      </c>
      <c r="K136" s="3">
        <v>0.04</v>
      </c>
      <c r="L136" s="3">
        <v>4.1300000000000003E-2</v>
      </c>
      <c r="M136" s="3">
        <v>4.2500000000000003E-2</v>
      </c>
    </row>
    <row r="137" spans="1:13" ht="15" hidden="1" customHeight="1">
      <c r="C137" s="3">
        <v>0</v>
      </c>
      <c r="D137" s="3">
        <v>0</v>
      </c>
      <c r="E137" s="3">
        <v>0</v>
      </c>
      <c r="F137" s="3">
        <v>0</v>
      </c>
      <c r="G137" s="3">
        <v>1.8100000000000002E-2</v>
      </c>
      <c r="H137" s="3">
        <v>3.5400000000000001E-2</v>
      </c>
      <c r="I137" s="3">
        <v>3.6400000000000002E-2</v>
      </c>
      <c r="J137" s="3">
        <v>3.7499999999999999E-2</v>
      </c>
      <c r="K137" s="3">
        <v>3.8600000000000002E-2</v>
      </c>
      <c r="L137" s="3">
        <v>3.9800000000000002E-2</v>
      </c>
      <c r="M137" s="3">
        <v>4.0899999999999999E-2</v>
      </c>
    </row>
    <row r="138" spans="1:13" ht="15" hidden="1" customHeight="1">
      <c r="C138" s="3">
        <v>0</v>
      </c>
      <c r="D138" s="3">
        <v>0</v>
      </c>
      <c r="E138" s="3">
        <v>0</v>
      </c>
      <c r="F138" s="3">
        <v>0</v>
      </c>
      <c r="G138" s="3">
        <v>0</v>
      </c>
      <c r="H138" s="3">
        <v>1.8100000000000002E-2</v>
      </c>
      <c r="I138" s="3">
        <v>3.5000000000000003E-2</v>
      </c>
      <c r="J138" s="3">
        <v>3.5999999999999997E-2</v>
      </c>
      <c r="K138" s="3">
        <v>3.7199999999999997E-2</v>
      </c>
      <c r="L138" s="3">
        <v>3.8399999999999997E-2</v>
      </c>
      <c r="M138" s="3">
        <v>3.95E-2</v>
      </c>
    </row>
    <row r="139" spans="1:13" ht="15" hidden="1" customHeight="1">
      <c r="C139" s="3">
        <v>0</v>
      </c>
      <c r="D139" s="3">
        <v>0</v>
      </c>
      <c r="E139" s="3">
        <v>0</v>
      </c>
      <c r="F139" s="3">
        <v>0</v>
      </c>
      <c r="G139" s="3">
        <v>0</v>
      </c>
      <c r="H139" s="3">
        <v>0</v>
      </c>
      <c r="I139" s="3">
        <v>1.7999999999999999E-2</v>
      </c>
      <c r="J139" s="3">
        <v>3.4799999999999998E-2</v>
      </c>
      <c r="K139" s="3">
        <v>3.5999999999999997E-2</v>
      </c>
      <c r="L139" s="3">
        <v>3.6999999999999998E-2</v>
      </c>
      <c r="M139" s="3">
        <v>3.8100000000000002E-2</v>
      </c>
    </row>
    <row r="140" spans="1:13" ht="15" hidden="1" customHeight="1">
      <c r="C140" s="3">
        <v>0</v>
      </c>
      <c r="D140" s="3">
        <v>0</v>
      </c>
      <c r="E140" s="3">
        <v>0</v>
      </c>
      <c r="F140" s="3">
        <v>0</v>
      </c>
      <c r="G140" s="3">
        <v>0</v>
      </c>
      <c r="H140" s="3">
        <v>0</v>
      </c>
      <c r="I140" s="3">
        <v>0</v>
      </c>
      <c r="J140" s="3">
        <v>1.7999999999999999E-2</v>
      </c>
      <c r="K140" s="3">
        <v>3.4500000000000003E-2</v>
      </c>
      <c r="L140" s="3">
        <v>3.5799999999999998E-2</v>
      </c>
      <c r="M140" s="3">
        <v>3.6900000000000002E-2</v>
      </c>
    </row>
    <row r="141" spans="1:13" ht="15" hidden="1" customHeight="1">
      <c r="C141" s="3">
        <v>0</v>
      </c>
      <c r="D141" s="3">
        <v>0</v>
      </c>
      <c r="E141" s="3">
        <v>0</v>
      </c>
      <c r="F141" s="3">
        <v>0</v>
      </c>
      <c r="G141" s="3">
        <v>0</v>
      </c>
      <c r="H141" s="3">
        <v>0</v>
      </c>
      <c r="I141" s="3">
        <v>0</v>
      </c>
      <c r="J141" s="3">
        <v>0</v>
      </c>
      <c r="K141" s="3">
        <v>1.7899999999999999E-2</v>
      </c>
      <c r="L141" s="3">
        <v>3.4500000000000003E-2</v>
      </c>
      <c r="M141" s="3">
        <v>3.56E-2</v>
      </c>
    </row>
    <row r="142" spans="1:13" ht="15" hidden="1" customHeight="1">
      <c r="C142" s="3">
        <v>0</v>
      </c>
      <c r="D142" s="3">
        <v>0</v>
      </c>
      <c r="E142" s="3">
        <v>0</v>
      </c>
      <c r="F142" s="3">
        <v>0</v>
      </c>
      <c r="G142" s="3">
        <v>0</v>
      </c>
      <c r="H142" s="3">
        <v>0</v>
      </c>
      <c r="I142" s="3">
        <v>0</v>
      </c>
      <c r="J142" s="3">
        <v>0</v>
      </c>
      <c r="K142" s="3">
        <v>0</v>
      </c>
      <c r="L142" s="3">
        <v>1.7899999999999999E-2</v>
      </c>
      <c r="M142" s="3">
        <v>3.4299999999999997E-2</v>
      </c>
    </row>
    <row r="143" spans="1:13" ht="15" hidden="1" customHeight="1">
      <c r="C143" s="3">
        <v>0</v>
      </c>
      <c r="D143" s="3">
        <v>0</v>
      </c>
      <c r="E143" s="3">
        <v>0</v>
      </c>
      <c r="F143" s="3">
        <v>0</v>
      </c>
      <c r="G143" s="3">
        <v>0</v>
      </c>
      <c r="H143" s="3">
        <v>0</v>
      </c>
      <c r="I143" s="3">
        <v>0</v>
      </c>
      <c r="J143" s="3">
        <v>0</v>
      </c>
      <c r="K143" s="3">
        <v>0</v>
      </c>
      <c r="L143" s="3">
        <v>0</v>
      </c>
      <c r="M143" s="3">
        <v>1.78E-2</v>
      </c>
    </row>
    <row r="144" spans="1:13" ht="15" hidden="1" customHeight="1"/>
    <row r="145" spans="1:13" ht="15" hidden="1" customHeight="1">
      <c r="A145" s="4" t="s">
        <v>55</v>
      </c>
      <c r="C145" s="102">
        <v>0</v>
      </c>
      <c r="D145" s="102">
        <v>4.0000000000000036E-3</v>
      </c>
      <c r="E145" s="102">
        <v>1.0000000000000009E-2</v>
      </c>
      <c r="F145" s="102">
        <v>1.7000000000000015E-2</v>
      </c>
      <c r="G145" s="102">
        <v>2.9000000000000026E-2</v>
      </c>
      <c r="H145" s="102">
        <v>4.4000000000000039E-2</v>
      </c>
      <c r="I145" s="102">
        <v>6.2999999999999945E-2</v>
      </c>
      <c r="J145" s="102">
        <v>8.8000000000000078E-2</v>
      </c>
      <c r="K145" s="102">
        <v>0.1160000000000001</v>
      </c>
      <c r="L145" s="102">
        <v>0.14200000000000035</v>
      </c>
      <c r="M145" s="102">
        <v>0.19599999999999973</v>
      </c>
    </row>
  </sheetData>
  <sheetProtection sheet="1" objects="1" scenarios="1"/>
  <mergeCells count="17">
    <mergeCell ref="A5:M5"/>
    <mergeCell ref="A7:M7"/>
    <mergeCell ref="N21:O21"/>
    <mergeCell ref="B56:M56"/>
    <mergeCell ref="A88:M88"/>
    <mergeCell ref="C21:M21"/>
    <mergeCell ref="A90:M90"/>
    <mergeCell ref="A92:M92"/>
    <mergeCell ref="C11:M11"/>
    <mergeCell ref="A104:M104"/>
    <mergeCell ref="O12:R14"/>
    <mergeCell ref="C20:L20"/>
    <mergeCell ref="A94:M94"/>
    <mergeCell ref="A96:M96"/>
    <mergeCell ref="A98:M98"/>
    <mergeCell ref="A100:M100"/>
    <mergeCell ref="A102:M102"/>
  </mergeCells>
  <dataValidations count="1">
    <dataValidation type="decimal" allowBlank="1" showInputMessage="1" showErrorMessage="1" errorTitle="Outside Range" error="Please keep values in the range [-0.75, 0.75] percentage points per year. Values outside that range generate effects that are not reasonably approximated with this tool." promptTitle="User-Specified Scenario" prompt="Please keep values in the range [-0.75, 0.75] percentage points per year. Values outside that range generate effects that are not reasonably approximated with this tool." sqref="C13:M13" xr:uid="{00000000-0002-0000-0200-000000000000}">
      <formula1>-0.75</formula1>
      <formula2>0.75</formula2>
    </dataValidation>
  </dataValidations>
  <hyperlinks>
    <hyperlink ref="A2" r:id="rId1" display="https://www.cbo.gov/publication/61198" xr:uid="{E573250F-B8C4-4EEC-80CC-2C1627CC0C61}"/>
  </hyperlinks>
  <pageMargins left="0.75" right="0.75" top="1" bottom="1" header="0.5" footer="0.5"/>
  <pageSetup scale="75"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52"/>
  <sheetViews>
    <sheetView zoomScaleNormal="100" workbookViewId="0"/>
  </sheetViews>
  <sheetFormatPr baseColWidth="10" defaultColWidth="12.5" defaultRowHeight="15" customHeight="1"/>
  <cols>
    <col min="1" max="1" width="54.5" style="4" customWidth="1"/>
    <col min="2" max="14" width="7.5" style="3" customWidth="1"/>
    <col min="15" max="15" width="8.1640625" style="3" customWidth="1"/>
    <col min="16" max="16384" width="12.5" style="4"/>
  </cols>
  <sheetData>
    <row r="1" spans="1:18" ht="15" customHeight="1">
      <c r="A1" s="2" t="s">
        <v>101</v>
      </c>
    </row>
    <row r="2" spans="1:18" ht="15" customHeight="1">
      <c r="A2" s="210" t="s">
        <v>119</v>
      </c>
    </row>
    <row r="3" spans="1:18" ht="15" customHeight="1">
      <c r="A3" s="165"/>
    </row>
    <row r="5" spans="1:18" s="6" customFormat="1" ht="60" customHeight="1">
      <c r="A5" s="213" t="s">
        <v>120</v>
      </c>
      <c r="B5" s="213"/>
      <c r="C5" s="213"/>
      <c r="D5" s="213"/>
      <c r="E5" s="213"/>
      <c r="F5" s="213"/>
      <c r="G5" s="213"/>
      <c r="H5" s="213"/>
      <c r="I5" s="213"/>
      <c r="J5" s="213"/>
      <c r="K5" s="213"/>
      <c r="L5" s="213"/>
      <c r="M5" s="213"/>
      <c r="N5" s="5"/>
      <c r="O5" s="5"/>
    </row>
    <row r="6" spans="1:18" s="6" customFormat="1" ht="15" customHeight="1">
      <c r="A6" s="7"/>
      <c r="B6" s="7"/>
      <c r="C6" s="7"/>
      <c r="D6" s="7"/>
      <c r="E6" s="7"/>
      <c r="F6" s="7"/>
      <c r="G6" s="7"/>
      <c r="H6" s="7"/>
      <c r="I6" s="7"/>
      <c r="J6" s="7"/>
      <c r="K6" s="7"/>
      <c r="L6" s="7"/>
      <c r="M6" s="7"/>
      <c r="N6" s="5"/>
      <c r="O6" s="5"/>
    </row>
    <row r="7" spans="1:18" ht="15" customHeight="1">
      <c r="A7" s="221" t="s">
        <v>11</v>
      </c>
      <c r="B7" s="221"/>
      <c r="C7" s="221"/>
      <c r="D7" s="221"/>
      <c r="E7" s="221"/>
      <c r="F7" s="221"/>
      <c r="G7" s="221"/>
      <c r="H7" s="221"/>
      <c r="I7" s="221"/>
      <c r="J7" s="221"/>
      <c r="K7" s="221"/>
      <c r="L7" s="221"/>
      <c r="M7" s="221"/>
      <c r="N7" s="8"/>
      <c r="O7" s="8"/>
    </row>
    <row r="8" spans="1:18" s="28" customFormat="1" ht="15" customHeight="1">
      <c r="A8" s="117"/>
      <c r="B8" s="117"/>
      <c r="C8" s="117"/>
      <c r="D8" s="117"/>
      <c r="E8" s="117"/>
      <c r="F8" s="117"/>
      <c r="G8" s="117"/>
      <c r="H8" s="117"/>
      <c r="I8" s="117"/>
      <c r="J8" s="117"/>
      <c r="K8" s="117"/>
      <c r="L8" s="117"/>
      <c r="M8" s="117"/>
      <c r="N8" s="117"/>
      <c r="O8" s="117"/>
    </row>
    <row r="9" spans="1:18" s="13" customFormat="1" ht="15" customHeight="1">
      <c r="A9" s="118"/>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c r="A10" s="16"/>
      <c r="B10" s="18"/>
      <c r="C10" s="18"/>
      <c r="D10" s="18"/>
      <c r="E10" s="18"/>
      <c r="F10" s="18"/>
      <c r="G10" s="18"/>
      <c r="H10" s="18"/>
      <c r="I10" s="18"/>
      <c r="J10" s="18"/>
      <c r="K10" s="18"/>
      <c r="L10" s="18"/>
      <c r="M10" s="18"/>
      <c r="N10" s="19"/>
      <c r="O10" s="19"/>
      <c r="P10" s="12"/>
    </row>
    <row r="11" spans="1:18" ht="15" customHeight="1">
      <c r="A11" s="21"/>
      <c r="B11" s="28"/>
      <c r="C11" s="214" t="s">
        <v>79</v>
      </c>
      <c r="D11" s="214"/>
      <c r="E11" s="214"/>
      <c r="F11" s="214"/>
      <c r="G11" s="214"/>
      <c r="H11" s="214"/>
      <c r="I11" s="214"/>
      <c r="J11" s="214"/>
      <c r="K11" s="214"/>
      <c r="L11" s="214"/>
      <c r="M11" s="214"/>
      <c r="N11" s="22"/>
      <c r="O11" s="22"/>
      <c r="P11" s="28"/>
    </row>
    <row r="12" spans="1:18" ht="15" customHeight="1" thickBot="1">
      <c r="A12" s="21"/>
      <c r="B12" s="23"/>
      <c r="C12" s="24"/>
      <c r="D12" s="24"/>
      <c r="E12" s="24"/>
      <c r="F12" s="24"/>
      <c r="G12" s="24"/>
      <c r="H12" s="24"/>
      <c r="I12" s="24"/>
      <c r="J12" s="24"/>
      <c r="K12" s="24"/>
      <c r="L12" s="24"/>
      <c r="M12" s="24"/>
      <c r="N12" s="23"/>
      <c r="O12" s="219" t="s">
        <v>111</v>
      </c>
      <c r="P12" s="219"/>
      <c r="Q12" s="219"/>
      <c r="R12" s="219"/>
    </row>
    <row r="13" spans="1:18" s="28" customFormat="1" ht="48" customHeight="1" thickBot="1">
      <c r="A13" s="25" t="s">
        <v>109</v>
      </c>
      <c r="B13" s="26" t="s">
        <v>3</v>
      </c>
      <c r="C13" s="1">
        <v>0.1</v>
      </c>
      <c r="D13" s="1">
        <v>0.1</v>
      </c>
      <c r="E13" s="1">
        <v>0.1</v>
      </c>
      <c r="F13" s="1">
        <v>0.1</v>
      </c>
      <c r="G13" s="1">
        <v>0.1</v>
      </c>
      <c r="H13" s="1">
        <v>0.1</v>
      </c>
      <c r="I13" s="1">
        <v>0.1</v>
      </c>
      <c r="J13" s="1">
        <v>0.1</v>
      </c>
      <c r="K13" s="1">
        <v>0.1</v>
      </c>
      <c r="L13" s="1">
        <v>0.1</v>
      </c>
      <c r="M13" s="1">
        <v>0.1</v>
      </c>
      <c r="N13" s="27"/>
      <c r="O13" s="219"/>
      <c r="P13" s="219"/>
      <c r="Q13" s="219"/>
      <c r="R13" s="219"/>
    </row>
    <row r="14" spans="1:18" ht="15" customHeight="1">
      <c r="A14" s="29" t="str">
        <f>IF($A$19,"Please keep values in the range [-1.0, 1.0] percentage point per year.","")</f>
        <v/>
      </c>
      <c r="B14" s="30"/>
      <c r="C14" s="31"/>
      <c r="D14" s="31"/>
      <c r="E14" s="31"/>
      <c r="F14" s="31"/>
      <c r="G14" s="31"/>
      <c r="H14" s="31"/>
      <c r="I14" s="31"/>
      <c r="J14" s="31"/>
      <c r="K14" s="31"/>
      <c r="L14" s="31"/>
      <c r="M14" s="31"/>
      <c r="N14" s="32"/>
      <c r="O14" s="219"/>
      <c r="P14" s="219"/>
      <c r="Q14" s="219"/>
      <c r="R14" s="219"/>
    </row>
    <row r="15" spans="1:18" ht="15" customHeight="1">
      <c r="A15" s="33" t="s">
        <v>80</v>
      </c>
      <c r="B15" s="30"/>
      <c r="C15" s="30"/>
      <c r="D15" s="30"/>
      <c r="E15" s="30"/>
      <c r="F15" s="30"/>
      <c r="G15" s="30"/>
      <c r="H15" s="30"/>
      <c r="I15" s="30"/>
      <c r="J15" s="30"/>
      <c r="K15" s="30"/>
      <c r="L15" s="30"/>
      <c r="M15" s="30"/>
      <c r="N15" s="32"/>
      <c r="O15" s="32"/>
      <c r="P15" s="28"/>
    </row>
    <row r="16" spans="1:18">
      <c r="A16" s="37" t="s">
        <v>92</v>
      </c>
      <c r="B16" s="185">
        <v>4.1879999999999997</v>
      </c>
      <c r="C16" s="185">
        <v>4.093</v>
      </c>
      <c r="D16" s="185">
        <v>3.9350000000000001</v>
      </c>
      <c r="E16" s="185">
        <v>3.9140000000000001</v>
      </c>
      <c r="F16" s="185">
        <v>3.8940000000000001</v>
      </c>
      <c r="G16" s="185">
        <v>3.871</v>
      </c>
      <c r="H16" s="185">
        <v>3.85</v>
      </c>
      <c r="I16" s="185">
        <v>3.8359999999999999</v>
      </c>
      <c r="J16" s="185">
        <v>3.8260000000000001</v>
      </c>
      <c r="K16" s="185">
        <v>3.8149999999999999</v>
      </c>
      <c r="L16" s="185">
        <v>3.7970000000000002</v>
      </c>
      <c r="M16" s="185">
        <v>3.7719999999999998</v>
      </c>
      <c r="N16" s="32"/>
      <c r="O16" s="32"/>
      <c r="P16" s="12"/>
    </row>
    <row r="17" spans="1:26">
      <c r="A17" s="39" t="s">
        <v>21</v>
      </c>
      <c r="B17" s="186">
        <f>IF($A$19,"n.a.",B16)</f>
        <v>4.1879999999999997</v>
      </c>
      <c r="C17" s="186">
        <f>IF($A$19,"n.a.",C16+C13)</f>
        <v>4.1929999999999996</v>
      </c>
      <c r="D17" s="186">
        <f t="shared" ref="D17:M17" si="0">IF($A$19,"n.a.",D16+D13)</f>
        <v>4.0350000000000001</v>
      </c>
      <c r="E17" s="186">
        <f t="shared" si="0"/>
        <v>4.0140000000000002</v>
      </c>
      <c r="F17" s="186">
        <f>IF($A$19,"n.a.",F16+F13)</f>
        <v>3.9940000000000002</v>
      </c>
      <c r="G17" s="186">
        <f t="shared" si="0"/>
        <v>3.9710000000000001</v>
      </c>
      <c r="H17" s="186">
        <f t="shared" si="0"/>
        <v>3.95</v>
      </c>
      <c r="I17" s="186">
        <f t="shared" si="0"/>
        <v>3.9359999999999999</v>
      </c>
      <c r="J17" s="186">
        <f t="shared" si="0"/>
        <v>3.9260000000000002</v>
      </c>
      <c r="K17" s="186">
        <f t="shared" si="0"/>
        <v>3.915</v>
      </c>
      <c r="L17" s="186">
        <f t="shared" si="0"/>
        <v>3.8970000000000002</v>
      </c>
      <c r="M17" s="186">
        <f t="shared" si="0"/>
        <v>3.8719999999999999</v>
      </c>
      <c r="N17" s="32"/>
      <c r="O17" s="32"/>
      <c r="P17" s="28"/>
    </row>
    <row r="18" spans="1:26" ht="15" customHeight="1">
      <c r="A18" s="41"/>
      <c r="B18" s="42"/>
      <c r="C18" s="42"/>
      <c r="D18" s="42"/>
      <c r="E18" s="42"/>
      <c r="F18" s="42"/>
      <c r="G18" s="42"/>
      <c r="H18" s="42"/>
      <c r="I18" s="42"/>
      <c r="J18" s="42"/>
      <c r="K18" s="42"/>
      <c r="L18" s="42"/>
      <c r="M18" s="42"/>
      <c r="N18" s="43"/>
      <c r="O18" s="43"/>
      <c r="P18" s="28"/>
    </row>
    <row r="19" spans="1:26" ht="15" customHeight="1">
      <c r="A19" s="44">
        <f>IF(OR(MAX(C13:M13)&gt;1,MIN(C13:M13)&lt;-1),1,0)</f>
        <v>0</v>
      </c>
      <c r="B19" s="32"/>
      <c r="C19" s="32"/>
      <c r="D19" s="32"/>
      <c r="E19" s="32"/>
      <c r="F19" s="32"/>
      <c r="G19" s="32"/>
      <c r="H19" s="32"/>
      <c r="I19" s="32"/>
      <c r="J19" s="32"/>
      <c r="K19" s="32"/>
      <c r="L19" s="32"/>
      <c r="M19" s="32"/>
      <c r="N19" s="32"/>
      <c r="O19" s="32"/>
      <c r="P19" s="28"/>
    </row>
    <row r="20" spans="1:26" ht="15" customHeight="1">
      <c r="A20" s="45"/>
      <c r="B20" s="46"/>
      <c r="C20" s="220"/>
      <c r="D20" s="220"/>
      <c r="E20" s="220"/>
      <c r="F20" s="220"/>
      <c r="G20" s="220"/>
      <c r="H20" s="220"/>
      <c r="I20" s="220"/>
      <c r="J20" s="220"/>
      <c r="K20" s="220"/>
      <c r="L20" s="220"/>
      <c r="M20" s="171"/>
      <c r="N20" s="46"/>
      <c r="O20" s="46"/>
    </row>
    <row r="21" spans="1:26" s="13" customFormat="1" ht="15" customHeight="1">
      <c r="A21" s="9"/>
      <c r="B21" s="47"/>
      <c r="C21" s="220" t="s">
        <v>60</v>
      </c>
      <c r="D21" s="220"/>
      <c r="E21" s="220"/>
      <c r="F21" s="220"/>
      <c r="G21" s="220"/>
      <c r="H21" s="220"/>
      <c r="I21" s="220"/>
      <c r="J21" s="220"/>
      <c r="K21" s="220"/>
      <c r="L21" s="220"/>
      <c r="M21" s="220"/>
      <c r="N21" s="218" t="s">
        <v>15</v>
      </c>
      <c r="O21" s="218"/>
    </row>
    <row r="22" spans="1:26" s="13" customFormat="1" ht="15" customHeight="1">
      <c r="A22" s="9"/>
      <c r="B22" s="47"/>
      <c r="C22" s="47"/>
      <c r="D22" s="47"/>
      <c r="E22" s="47"/>
      <c r="F22" s="47"/>
      <c r="G22" s="47"/>
      <c r="H22" s="47"/>
      <c r="I22" s="47"/>
      <c r="J22" s="47"/>
      <c r="K22" s="47"/>
      <c r="L22" s="47"/>
      <c r="M22" s="47"/>
      <c r="N22" s="48" t="s">
        <v>91</v>
      </c>
      <c r="O22" s="48" t="s">
        <v>91</v>
      </c>
    </row>
    <row r="23" spans="1:26" s="13" customFormat="1" ht="15" customHeight="1">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c r="A24" s="50" t="s">
        <v>59</v>
      </c>
      <c r="B24" s="181" t="s">
        <v>3</v>
      </c>
      <c r="C24" s="181" cm="1">
        <f t="array" ref="C24">IF($A$19,"n.a.",TRUNC(SUMPRODUCT($C13:$M13,TRANSPOSE(C108:C118))-C120*(C13*0.75),3))</f>
        <v>-2.5630000000000002</v>
      </c>
      <c r="D24" s="181" cm="1">
        <f t="array" ref="D24">IF($A$19,"n.a.",TRUNC(SUMPRODUCT($C13:$M13,TRANSPOSE(D108:D118))-D120*(D13*0.75+C13*0.25),3))</f>
        <v>-2.5649999999999999</v>
      </c>
      <c r="E24" s="181" cm="1">
        <f t="array" ref="E24">IF($A$19,"n.a.",TRUNC(SUMPRODUCT($C13:$M13,TRANSPOSE(E108:E118))-E120*(E13*0.75+D13*0.25),3))</f>
        <v>-1.6779999999999999</v>
      </c>
      <c r="F24" s="181" cm="1">
        <f t="array" ref="F24">IF($A$19,"n.a.",TRUNC(SUMPRODUCT($C13:$M13,TRANSPOSE(F108:F118))-F120*(F13*0.75+E13*0.25),3))</f>
        <v>-0.88</v>
      </c>
      <c r="G24" s="181" cm="1">
        <f t="array" ref="G24">IF($A$19,"n.a.",TRUNC(SUMPRODUCT($C13:$M13,TRANSPOSE(G108:G118))-G120*(G13*0.75+F13*0.25),3))</f>
        <v>-0.17299999999999999</v>
      </c>
      <c r="H24" s="181" cm="1">
        <f t="array" ref="H24">IF($A$19,"n.a.",TRUNC(SUMPRODUCT($C13:$M13,TRANSPOSE(H108:H118))-H120*(H13*0.75+G13*0.25),3))</f>
        <v>0.5</v>
      </c>
      <c r="I24" s="181" cm="1">
        <f t="array" ref="I24">IF($A$19,"n.a.",TRUNC(SUMPRODUCT($C13:$M13,TRANSPOSE(I108:I118))-I120*(I13*0.75+H13*0.25),3))</f>
        <v>1.0109999999999999</v>
      </c>
      <c r="J24" s="181" cm="1">
        <f t="array" ref="J24">IF($A$19,"n.a.",TRUNC(SUMPRODUCT($C13:$M13,TRANSPOSE(J108:J118))-J120*(J13*0.75+I13*0.25),3))</f>
        <v>1.5129999999999999</v>
      </c>
      <c r="K24" s="181" cm="1">
        <f t="array" ref="K24">IF($A$19,"n.a.",TRUNC(SUMPRODUCT($C13:$M13,TRANSPOSE(K108:K118))-K120*(K13*0.75+J13*0.25),3))</f>
        <v>1.9330000000000001</v>
      </c>
      <c r="L24" s="181" cm="1">
        <f t="array" ref="L24">IF($A$19,"n.a.",TRUNC(SUMPRODUCT($C13:$M13,TRANSPOSE(L108:L118))-L120*(L13*0.75+K13*0.25),3))</f>
        <v>2.2890000000000001</v>
      </c>
      <c r="M24" s="181" cm="1">
        <f t="array" ref="M24">IF($A$19,"n.a.",TRUNC(SUMPRODUCT($C13:$M13,TRANSPOSE(M108:M118))-M120*(M13*0.75+L13*0.25),3))</f>
        <v>2.6349999999999998</v>
      </c>
      <c r="N24" s="51">
        <f>IF($A$19,"n.a.",SUM(D24:H24))</f>
        <v>-4.7960000000000003</v>
      </c>
      <c r="O24" s="51">
        <f>IF($A$19,"n.a.",SUM(D24:M24))</f>
        <v>4.585</v>
      </c>
    </row>
    <row r="25" spans="1:26" ht="15" customHeight="1">
      <c r="A25" s="50"/>
      <c r="B25" s="181"/>
      <c r="C25" s="181"/>
      <c r="D25" s="181"/>
      <c r="E25" s="181"/>
      <c r="F25" s="181"/>
      <c r="G25" s="181"/>
      <c r="H25" s="181"/>
      <c r="I25" s="181"/>
      <c r="J25" s="181"/>
      <c r="K25" s="181"/>
      <c r="L25" s="181"/>
      <c r="M25" s="181"/>
      <c r="N25" s="51"/>
      <c r="O25" s="51"/>
    </row>
    <row r="26" spans="1:26" ht="15" customHeight="1">
      <c r="A26" s="50" t="s">
        <v>61</v>
      </c>
      <c r="B26" s="51"/>
      <c r="C26" s="51"/>
      <c r="D26" s="51"/>
      <c r="E26" s="51"/>
      <c r="F26" s="51"/>
      <c r="G26" s="51"/>
      <c r="H26" s="51"/>
      <c r="I26" s="51"/>
      <c r="J26" s="51"/>
      <c r="K26" s="51"/>
      <c r="L26" s="51"/>
      <c r="M26" s="51"/>
      <c r="N26" s="52"/>
      <c r="O26" s="52"/>
    </row>
    <row r="27" spans="1:26" ht="15" customHeight="1">
      <c r="A27" s="53" t="s">
        <v>0</v>
      </c>
      <c r="B27" s="181" t="s">
        <v>3</v>
      </c>
      <c r="C27" s="181">
        <f>IF($A$19,"n.a.",ROUND('7. Interest Rates_CBO'!C14*C122/('7. Interest Rates_CBO'!C63-'7. Interest Rates_CBO'!C62),3))</f>
        <v>0</v>
      </c>
      <c r="D27" s="181">
        <f>IF($A$19,"n.a.",ROUND('7. Interest Rates_CBO'!D14*D122/('7. Interest Rates_CBO'!D63-'7. Interest Rates_CBO'!D62),3))</f>
        <v>0</v>
      </c>
      <c r="E27" s="181">
        <f>IF($A$19,"n.a.",ROUND('7. Interest Rates_CBO'!E14*E122/('7. Interest Rates_CBO'!E63-'7. Interest Rates_CBO'!E62),3))</f>
        <v>0</v>
      </c>
      <c r="F27" s="181">
        <f>IF($A$19,"n.a.",ROUND('7. Interest Rates_CBO'!F14*F122/('7. Interest Rates_CBO'!F63-'7. Interest Rates_CBO'!F62),3))</f>
        <v>0</v>
      </c>
      <c r="G27" s="181">
        <f>IF($A$19,"n.a.",ROUND('7. Interest Rates_CBO'!G14*G122/('7. Interest Rates_CBO'!G63-'7. Interest Rates_CBO'!G62),3))</f>
        <v>0</v>
      </c>
      <c r="H27" s="181">
        <f>IF($A$19,"n.a.",ROUND('7. Interest Rates_CBO'!H14*H122/('7. Interest Rates_CBO'!H63-'7. Interest Rates_CBO'!H62),3))</f>
        <v>0</v>
      </c>
      <c r="I27" s="181">
        <f>IF($A$19,"n.a.",ROUND('7. Interest Rates_CBO'!I14*I122/('7. Interest Rates_CBO'!I63-'7. Interest Rates_CBO'!I62),3))</f>
        <v>0</v>
      </c>
      <c r="J27" s="181">
        <f>IF($A$19,"n.a.",ROUND('7. Interest Rates_CBO'!J14*J122/('7. Interest Rates_CBO'!J63-'7. Interest Rates_CBO'!J62),3))</f>
        <v>0</v>
      </c>
      <c r="K27" s="181">
        <f>IF($A$19,"n.a.",ROUND('7. Interest Rates_CBO'!K14*K122/('7. Interest Rates_CBO'!K63-'7. Interest Rates_CBO'!K62),3))</f>
        <v>0</v>
      </c>
      <c r="L27" s="181">
        <f>IF($A$19,"n.a.",ROUND('7. Interest Rates_CBO'!L14*L122/('7. Interest Rates_CBO'!L63-'7. Interest Rates_CBO'!L62),3))</f>
        <v>0</v>
      </c>
      <c r="M27" s="181">
        <f>IF($A$19,"n.a.",ROUND('7. Interest Rates_CBO'!M14*M122/('7. Interest Rates_CBO'!M63-'7. Interest Rates_CBO'!M62),3))</f>
        <v>0</v>
      </c>
      <c r="N27" s="51">
        <f>IF($A$19,"n.a.",SUM(D27:H27))</f>
        <v>0</v>
      </c>
      <c r="O27" s="51">
        <f>IF($A$19,"n.a.",SUM(D27:M27))</f>
        <v>0</v>
      </c>
    </row>
    <row r="28" spans="1:26" ht="15" customHeight="1">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c r="A29" s="53" t="s">
        <v>49</v>
      </c>
      <c r="B29" s="51"/>
      <c r="C29" s="51"/>
      <c r="D29" s="51"/>
      <c r="E29" s="51"/>
      <c r="F29" s="51"/>
      <c r="G29" s="51"/>
      <c r="H29" s="51"/>
      <c r="I29" s="51"/>
      <c r="J29" s="51"/>
      <c r="K29" s="51"/>
      <c r="L29" s="51"/>
      <c r="M29" s="51"/>
      <c r="N29" s="51"/>
      <c r="O29" s="51"/>
    </row>
    <row r="30" spans="1:26" ht="15" customHeight="1">
      <c r="A30" s="55" t="s">
        <v>51</v>
      </c>
      <c r="B30" s="181" t="s">
        <v>3</v>
      </c>
      <c r="C30" s="181" cm="1">
        <f t="array" ref="C30">IF($A$19,"n.a.",ROUND(SUMPRODUCT(TRANSPOSE($C122:$M122),C124:C134),3)+ROUND(C136*C122/('7. Interest Rates_CBO'!C63-'7. Interest Rates_CBO'!C62),3))</f>
        <v>5.2190000000000003</v>
      </c>
      <c r="D30" s="181" cm="1">
        <f t="array" ref="D30">IF($A$19,"n.a.",ROUND(SUMPRODUCT(TRANSPOSE($C122:$M122),D124:D134),3)+ROUND(D136*D122/('7. Interest Rates_CBO'!D63-'7. Interest Rates_CBO'!D62),3))</f>
        <v>12.742000000000001</v>
      </c>
      <c r="E30" s="181" cm="1">
        <f t="array" ref="E30">IF($A$19,"n.a.",ROUND(SUMPRODUCT(TRANSPOSE($C122:$M122),E124:E134),3)+ROUND(E136*E122/('7. Interest Rates_CBO'!E63-'7. Interest Rates_CBO'!E62),3))</f>
        <v>17.446000000000002</v>
      </c>
      <c r="F30" s="181" cm="1">
        <f t="array" ref="F30">IF($A$19,"n.a.",ROUND(SUMPRODUCT(TRANSPOSE($C122:$M122),F124:F134),3)+ROUND(F136*F122/('7. Interest Rates_CBO'!F63-'7. Interest Rates_CBO'!F62),3))</f>
        <v>21.701000000000001</v>
      </c>
      <c r="G30" s="181" cm="1">
        <f t="array" ref="G30">IF($A$19,"n.a.",ROUND(SUMPRODUCT(TRANSPOSE($C122:$M122),G124:G134),3)+ROUND(G136*G122/('7. Interest Rates_CBO'!G63-'7. Interest Rates_CBO'!G62),3))</f>
        <v>25.641999999999999</v>
      </c>
      <c r="H30" s="181" cm="1">
        <f t="array" ref="H30">IF($A$19,"n.a.",ROUND(SUMPRODUCT(TRANSPOSE($C122:$M122),H124:H134),3)+ROUND(H136*H122/('7. Interest Rates_CBO'!H63-'7. Interest Rates_CBO'!H62),3))</f>
        <v>29.475999999999999</v>
      </c>
      <c r="I30" s="181" cm="1">
        <f t="array" ref="I30">IF($A$19,"n.a.",ROUND(SUMPRODUCT(TRANSPOSE($C122:$M122),I124:I134),3)+ROUND(I136*I122/('7. Interest Rates_CBO'!I63-'7. Interest Rates_CBO'!I62),3))</f>
        <v>32.841999999999999</v>
      </c>
      <c r="J30" s="181" cm="1">
        <f t="array" ref="J30">IF($A$19,"n.a.",ROUND(SUMPRODUCT(TRANSPOSE($C122:$M122),J124:J134),3)+ROUND(J136*J122/('7. Interest Rates_CBO'!J63-'7. Interest Rates_CBO'!J62),3))</f>
        <v>36.317</v>
      </c>
      <c r="K30" s="181" cm="1">
        <f t="array" ref="K30">IF($A$19,"n.a.",ROUND(SUMPRODUCT(TRANSPOSE($C122:$M122),K124:K134),3)+ROUND(K136*K122/('7. Interest Rates_CBO'!K63-'7. Interest Rates_CBO'!K62),3))</f>
        <v>39.377000000000002</v>
      </c>
      <c r="L30" s="181" cm="1">
        <f t="array" ref="L30">IF($A$19,"n.a.",ROUND(SUMPRODUCT(TRANSPOSE($C122:$M122),L124:L134),3)+ROUND(L136*L122/('7. Interest Rates_CBO'!L63-'7. Interest Rates_CBO'!L62),3))</f>
        <v>42.587000000000003</v>
      </c>
      <c r="M30" s="181" cm="1">
        <f t="array" ref="M30">IF($A$19,"n.a.",ROUND(SUMPRODUCT(TRANSPOSE($C122:$M122),M124:M134),3)+ROUND(M136*M122/('7. Interest Rates_CBO'!M63-'7. Interest Rates_CBO'!M62),3))</f>
        <v>45.526000000000003</v>
      </c>
      <c r="N30" s="51">
        <f>IF($A$19,"n.a.",SUM(D30:H30))</f>
        <v>107.00700000000001</v>
      </c>
      <c r="O30" s="51">
        <f>IF($A$19,"n.a.",SUM(D30:M30))</f>
        <v>303.65600000000001</v>
      </c>
    </row>
    <row r="31" spans="1:26" ht="15" customHeight="1">
      <c r="A31" s="55" t="s">
        <v>7</v>
      </c>
      <c r="B31" s="181" t="s">
        <v>3</v>
      </c>
      <c r="C31" s="181" cm="1">
        <f t="array" ref="C31">IF($A$19,"n.a.",ROUND(SUMPRODUCT($C138:$M138,TRANSPOSE(C140:C150)),3) + ROUND((-C152)*C138/('7. Interest Rates_CBO'!C24+'7. Interest Rates_CBO'!C18),3))</f>
        <v>8.3000000000000004E-2</v>
      </c>
      <c r="D31" s="181" cm="1">
        <f t="array" ref="D31">IF($A$19,"n.a.",ROUND(SUMPRODUCT($C138:$M138,TRANSPOSE(D140:D150)),3) + ROUND((-D152)*D138/('7. Interest Rates_CBO'!D24+'7. Interest Rates_CBO'!D18),3))</f>
        <v>0.59299999999999997</v>
      </c>
      <c r="E31" s="181" cm="1">
        <f t="array" ref="E31">IF($A$19,"n.a.",ROUND(SUMPRODUCT($C138:$M138,TRANSPOSE(E140:E150)),3) + ROUND((-E152)*E138/('7. Interest Rates_CBO'!E24+'7. Interest Rates_CBO'!E18),3))</f>
        <v>1.2390000000000001</v>
      </c>
      <c r="F31" s="181" cm="1">
        <f t="array" ref="F31">IF($A$19,"n.a.",ROUND(SUMPRODUCT($C138:$M138,TRANSPOSE(F140:F150)),3) + ROUND((-F152)*F138/('7. Interest Rates_CBO'!F24+'7. Interest Rates_CBO'!F18),3))</f>
        <v>2.0350000000000001</v>
      </c>
      <c r="G31" s="181" cm="1">
        <f t="array" ref="G31">IF($A$19,"n.a.",ROUND(SUMPRODUCT($C138:$M138,TRANSPOSE(G140:G150)),3) + ROUND((-G152)*G138/('7. Interest Rates_CBO'!G24+'7. Interest Rates_CBO'!G18),3))</f>
        <v>2.9660000000000002</v>
      </c>
      <c r="H31" s="181" cm="1">
        <f t="array" ref="H31">IF($A$19,"n.a.",ROUND(SUMPRODUCT($C138:$M138,TRANSPOSE(H140:H150)),3) + ROUND((-H152)*H138/('7. Interest Rates_CBO'!H24+'7. Interest Rates_CBO'!H18),3))</f>
        <v>4.0430000000000001</v>
      </c>
      <c r="I31" s="181" cm="1">
        <f t="array" ref="I31">IF($A$19,"n.a.",ROUND(SUMPRODUCT($C138:$M138,TRANSPOSE(I140:I150)),3) + ROUND((-I152)*I138/('7. Interest Rates_CBO'!I24+'7. Interest Rates_CBO'!I18),3))</f>
        <v>5.24</v>
      </c>
      <c r="J31" s="181" cm="1">
        <f t="array" ref="J31">IF($A$19,"n.a.",ROUND(SUMPRODUCT($C138:$M138,TRANSPOSE(J140:J150)),3) + ROUND((-J152)*J138/('7. Interest Rates_CBO'!J24+'7. Interest Rates_CBO'!J18),3))</f>
        <v>6.5789999999999997</v>
      </c>
      <c r="K31" s="181" cm="1">
        <f t="array" ref="K31">IF($A$19,"n.a.",ROUND(SUMPRODUCT($C138:$M138,TRANSPOSE(K140:K150)),3) + ROUND((-K152)*K138/('7. Interest Rates_CBO'!K24+'7. Interest Rates_CBO'!K18),3))</f>
        <v>8.0500000000000007</v>
      </c>
      <c r="L31" s="181" cm="1">
        <f t="array" ref="L31">IF($A$19,"n.a.",ROUND(SUMPRODUCT($C138:$M138,TRANSPOSE(L140:L150)),3) + ROUND((-L152)*L138/('7. Interest Rates_CBO'!L24+'7. Interest Rates_CBO'!L18),3))</f>
        <v>9.66</v>
      </c>
      <c r="M31" s="181" cm="1">
        <f t="array" ref="M31">IF($A$19,"n.a.",ROUND(SUMPRODUCT($C138:$M138,TRANSPOSE(M140:M150)),3) + ROUND((-M152)*M138/('7. Interest Rates_CBO'!M24+'7. Interest Rates_CBO'!M18),3))</f>
        <v>11.428000000000001</v>
      </c>
      <c r="N31" s="51">
        <f>IF($A$19,"n.a.",SUM(D31:H31))</f>
        <v>10.876000000000001</v>
      </c>
      <c r="O31" s="51">
        <f>IF($A$19,"n.a.",SUM(D31:M31))</f>
        <v>51.832999999999998</v>
      </c>
    </row>
    <row r="32" spans="1:26" ht="3" customHeight="1">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c r="A33" s="158" t="s">
        <v>50</v>
      </c>
      <c r="B33" s="181" t="s">
        <v>3</v>
      </c>
      <c r="C33" s="51">
        <f>IF($A$19,"n.a.",C30+C31)</f>
        <v>5.3020000000000005</v>
      </c>
      <c r="D33" s="51">
        <f>IF($A$19,"n.a.",D30+D31)</f>
        <v>13.335000000000001</v>
      </c>
      <c r="E33" s="51">
        <f t="shared" ref="E33:J33" si="2">IF($A$19,"n.a.",E30+E31)</f>
        <v>18.685000000000002</v>
      </c>
      <c r="F33" s="51">
        <f t="shared" si="2"/>
        <v>23.736000000000001</v>
      </c>
      <c r="G33" s="51">
        <f t="shared" si="2"/>
        <v>28.608000000000001</v>
      </c>
      <c r="H33" s="51">
        <f t="shared" si="2"/>
        <v>33.518999999999998</v>
      </c>
      <c r="I33" s="51">
        <f t="shared" si="2"/>
        <v>38.082000000000001</v>
      </c>
      <c r="J33" s="51">
        <f t="shared" si="2"/>
        <v>42.896000000000001</v>
      </c>
      <c r="K33" s="51">
        <f>IF($A$19,"n.a.",K30+K31)</f>
        <v>47.427000000000007</v>
      </c>
      <c r="L33" s="51">
        <f>IF($A$19,"n.a.",L30+L31)</f>
        <v>52.247</v>
      </c>
      <c r="M33" s="51">
        <f>IF($A$19,"n.a.",M30+M31)</f>
        <v>56.954000000000008</v>
      </c>
      <c r="N33" s="51">
        <f>IF($A$19,"n.a.",SUM(D33:H33))</f>
        <v>117.88300000000001</v>
      </c>
      <c r="O33" s="51">
        <f>IF($A$19,"n.a.",SUM(D33:M33))</f>
        <v>355.48900000000003</v>
      </c>
    </row>
    <row r="34" spans="1:16" ht="15" customHeight="1">
      <c r="A34" s="56"/>
      <c r="B34" s="181"/>
      <c r="C34" s="51"/>
      <c r="D34" s="51"/>
      <c r="E34" s="51"/>
      <c r="F34" s="51"/>
      <c r="G34" s="51"/>
      <c r="H34" s="51"/>
      <c r="I34" s="51"/>
      <c r="J34" s="51"/>
      <c r="K34" s="51"/>
      <c r="L34" s="51"/>
      <c r="M34" s="51"/>
      <c r="N34" s="51"/>
      <c r="O34" s="51"/>
    </row>
    <row r="35" spans="1:16" ht="15" customHeight="1">
      <c r="A35" s="57" t="s">
        <v>62</v>
      </c>
      <c r="B35" s="181" t="s">
        <v>3</v>
      </c>
      <c r="C35" s="51">
        <f>IF($A$19,"n.a.",C27+C28+C33)</f>
        <v>5.3020000000000005</v>
      </c>
      <c r="D35" s="51">
        <f>IF($A$19,"n.a.",D27+D28+D33)</f>
        <v>13.335000000000001</v>
      </c>
      <c r="E35" s="51">
        <f t="shared" ref="E35:H35" si="3">IF($A$19,"n.a.",E27+E28+E33)</f>
        <v>18.685000000000002</v>
      </c>
      <c r="F35" s="51">
        <f t="shared" si="3"/>
        <v>23.736000000000001</v>
      </c>
      <c r="G35" s="51">
        <f t="shared" si="3"/>
        <v>28.608000000000001</v>
      </c>
      <c r="H35" s="51">
        <f t="shared" si="3"/>
        <v>33.518999999999998</v>
      </c>
      <c r="I35" s="51">
        <f>IF($A$19,"n.a.",I27+I28+I33)</f>
        <v>38.082000000000001</v>
      </c>
      <c r="J35" s="51">
        <f>IF($A$19,"n.a.",J27+J28+J33)</f>
        <v>42.896000000000001</v>
      </c>
      <c r="K35" s="51">
        <f>IF($A$19,"n.a.",K27+K28+K33)</f>
        <v>47.427000000000007</v>
      </c>
      <c r="L35" s="51">
        <f>IF($A$19,"n.a.",L27+L28+L33)</f>
        <v>52.247</v>
      </c>
      <c r="M35" s="51">
        <f>IF($A$19,"n.a.",M27+M28+M33)</f>
        <v>56.954000000000008</v>
      </c>
      <c r="N35" s="51">
        <f>IF($A$19,"n.a.",SUM(D35:H35))</f>
        <v>117.88300000000001</v>
      </c>
      <c r="O35" s="51">
        <f>IF($A$19,"n.a.",SUM(D35:M35))</f>
        <v>355.48900000000003</v>
      </c>
      <c r="P35" s="58"/>
    </row>
    <row r="36" spans="1:16" ht="15" customHeight="1">
      <c r="A36" s="50"/>
      <c r="B36" s="51"/>
      <c r="C36" s="51"/>
      <c r="D36" s="51"/>
      <c r="E36" s="51"/>
      <c r="F36" s="51"/>
      <c r="G36" s="51"/>
      <c r="H36" s="51"/>
      <c r="I36" s="51"/>
      <c r="J36" s="51"/>
      <c r="K36" s="51"/>
      <c r="L36" s="51"/>
      <c r="M36" s="51"/>
      <c r="N36" s="52"/>
      <c r="O36" s="52"/>
    </row>
    <row r="37" spans="1:16" ht="30" customHeight="1">
      <c r="A37" s="59" t="s">
        <v>63</v>
      </c>
      <c r="B37" s="60" t="s">
        <v>3</v>
      </c>
      <c r="C37" s="52">
        <f t="shared" ref="C37:K37" si="4">IF($A$19,"n.a.",C24-C35)</f>
        <v>-7.8650000000000002</v>
      </c>
      <c r="D37" s="52">
        <f>IF($A$19,"n.a.",D24-D35)</f>
        <v>-15.9</v>
      </c>
      <c r="E37" s="52">
        <f t="shared" si="4"/>
        <v>-20.363000000000003</v>
      </c>
      <c r="F37" s="52">
        <f t="shared" si="4"/>
        <v>-24.616</v>
      </c>
      <c r="G37" s="52">
        <f t="shared" si="4"/>
        <v>-28.780999999999999</v>
      </c>
      <c r="H37" s="52">
        <f t="shared" si="4"/>
        <v>-33.018999999999998</v>
      </c>
      <c r="I37" s="52">
        <f t="shared" si="4"/>
        <v>-37.070999999999998</v>
      </c>
      <c r="J37" s="52">
        <f t="shared" si="4"/>
        <v>-41.383000000000003</v>
      </c>
      <c r="K37" s="52">
        <f t="shared" si="4"/>
        <v>-45.494000000000007</v>
      </c>
      <c r="L37" s="52">
        <f>IF($A$19,"n.a.",L24-L35)</f>
        <v>-49.957999999999998</v>
      </c>
      <c r="M37" s="52">
        <f>IF($A$19,"n.a.",M24-M35)</f>
        <v>-54.31900000000001</v>
      </c>
      <c r="N37" s="52">
        <f>IF($A$19,"n.a.",SUM(D37:H37))</f>
        <v>-122.679</v>
      </c>
      <c r="O37" s="52">
        <f>IF($A$19,"n.a.",SUM(D37:M37))</f>
        <v>-350.90400000000005</v>
      </c>
    </row>
    <row r="38" spans="1:16" s="73" customFormat="1" ht="15" customHeight="1">
      <c r="A38" s="110"/>
      <c r="B38" s="111"/>
      <c r="C38" s="62"/>
      <c r="D38" s="62"/>
      <c r="E38" s="62"/>
      <c r="F38" s="62"/>
      <c r="G38" s="62"/>
      <c r="H38" s="62"/>
      <c r="I38" s="62"/>
      <c r="J38" s="62"/>
      <c r="K38" s="62"/>
      <c r="L38" s="62"/>
      <c r="M38" s="62"/>
      <c r="N38" s="111"/>
      <c r="O38" s="111"/>
    </row>
    <row r="39" spans="1:16" s="73" customFormat="1" ht="15" customHeight="1">
      <c r="A39" s="64" t="s">
        <v>64</v>
      </c>
      <c r="B39" s="111"/>
      <c r="C39" s="112"/>
      <c r="D39" s="112"/>
      <c r="E39" s="112"/>
      <c r="F39" s="112"/>
      <c r="G39" s="112"/>
      <c r="H39" s="112"/>
      <c r="I39" s="112"/>
      <c r="J39" s="112"/>
      <c r="K39" s="112"/>
      <c r="L39" s="112"/>
      <c r="M39" s="112"/>
      <c r="N39" s="111"/>
      <c r="O39" s="111"/>
    </row>
    <row r="40" spans="1:16" s="73" customFormat="1" ht="15" customHeight="1">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c r="A41" s="67" t="s">
        <v>21</v>
      </c>
      <c r="B41" s="68">
        <f>IF($A$19,"n.a.",B40)</f>
        <v>-1832.3809999999994</v>
      </c>
      <c r="C41" s="69">
        <f>IF($A$19,"n.a.",C40+C37)</f>
        <v>-1873.1160000000002</v>
      </c>
      <c r="D41" s="69">
        <f>IF($A$19,"n.a.",D40+D37)</f>
        <v>-1729.1579999999999</v>
      </c>
      <c r="E41" s="69">
        <f>IF($A$19,"n.a.",E40+E37)</f>
        <v>-1707.3050000000001</v>
      </c>
      <c r="F41" s="69">
        <f t="shared" ref="F41:L41" si="5">IF($A$19,"n.a.",F40+F37)</f>
        <v>-1935.3920000000007</v>
      </c>
      <c r="G41" s="69">
        <f t="shared" si="5"/>
        <v>-1967.0489999999991</v>
      </c>
      <c r="H41" s="69">
        <f t="shared" si="5"/>
        <v>-2172.7400000000011</v>
      </c>
      <c r="I41" s="69">
        <f t="shared" si="5"/>
        <v>-2269.8569999999991</v>
      </c>
      <c r="J41" s="69">
        <f t="shared" si="5"/>
        <v>-2411.9650000000001</v>
      </c>
      <c r="K41" s="69">
        <f t="shared" si="5"/>
        <v>-2682.7929999999983</v>
      </c>
      <c r="L41" s="69">
        <f t="shared" si="5"/>
        <v>-2647.2079999999992</v>
      </c>
      <c r="M41" s="69">
        <f>IF($A$19,"n.a.",M40+M37)</f>
        <v>-2585.6969999999988</v>
      </c>
      <c r="N41" s="51">
        <f>IF($A$19,"n.a.",SUM(D41:H41))</f>
        <v>-9511.6440000000002</v>
      </c>
      <c r="O41" s="51">
        <f>IF($A$19,"n.a.",SUM(D41:M41))</f>
        <v>-22109.163999999997</v>
      </c>
    </row>
    <row r="42" spans="1:16" s="63" customFormat="1" ht="15" customHeight="1">
      <c r="A42" s="61"/>
      <c r="B42" s="62"/>
      <c r="C42" s="62"/>
      <c r="D42" s="62"/>
      <c r="E42" s="62"/>
      <c r="F42" s="62"/>
      <c r="G42" s="62"/>
      <c r="H42" s="62"/>
      <c r="I42" s="62"/>
      <c r="J42" s="62"/>
      <c r="K42" s="62"/>
      <c r="L42" s="62"/>
      <c r="M42" s="62"/>
      <c r="N42" s="62"/>
      <c r="O42" s="62"/>
    </row>
    <row r="43" spans="1:16" s="63" customFormat="1" ht="15" customHeight="1">
      <c r="A43" s="64" t="s">
        <v>65</v>
      </c>
      <c r="B43" s="62"/>
      <c r="C43" s="65"/>
      <c r="D43" s="65"/>
      <c r="E43" s="65"/>
      <c r="F43" s="65"/>
      <c r="G43" s="65"/>
      <c r="H43" s="65"/>
      <c r="I43" s="65"/>
      <c r="J43" s="65"/>
      <c r="K43" s="65"/>
      <c r="L43" s="65"/>
      <c r="M43" s="65"/>
      <c r="N43" s="62"/>
      <c r="O43" s="62"/>
    </row>
    <row r="44" spans="1:16" s="63" customFormat="1" ht="15" customHeight="1">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c r="A45" s="67" t="s">
        <v>21</v>
      </c>
      <c r="B45" s="68">
        <f>IF($A$19,"n.a.",B44)</f>
        <v>28199.312999999998</v>
      </c>
      <c r="C45" s="69">
        <f>IF($A$19,"n.a.",C44-SUM($C37:C37))</f>
        <v>30110.614000000001</v>
      </c>
      <c r="D45" s="69">
        <f>IF($A$19,"n.a.",D44-SUM($C37:D37))</f>
        <v>31906.398000000001</v>
      </c>
      <c r="E45" s="69">
        <f>IF($A$19,"n.a.",E44-SUM($C37:E37))</f>
        <v>33680.233</v>
      </c>
      <c r="F45" s="69">
        <f>IF($A$19,"n.a.",F44-SUM($C37:F37))</f>
        <v>35669.383999999998</v>
      </c>
      <c r="G45" s="69">
        <f>IF($A$19,"n.a.",G44-SUM($C37:G37))</f>
        <v>37678.025000000001</v>
      </c>
      <c r="H45" s="69">
        <f>IF($A$19,"n.a.",H44-SUM($C37:H37))</f>
        <v>39878.195</v>
      </c>
      <c r="I45" s="69">
        <f>IF($A$19,"n.a.",I44-SUM($C37:I37))</f>
        <v>42160</v>
      </c>
      <c r="J45" s="69">
        <f>IF($A$19,"n.a.",J44-SUM($C37:J37))</f>
        <v>44580.752999999997</v>
      </c>
      <c r="K45" s="69">
        <f>IF($A$19,"n.a.",K44-SUM($C37:K37))</f>
        <v>47239.521000000001</v>
      </c>
      <c r="L45" s="69">
        <f>IF($A$19,"n.a.",L44-SUM($C37:L37))</f>
        <v>49859.953999999998</v>
      </c>
      <c r="M45" s="69">
        <f>IF($A$19,"n.a.",M44-SUM($C37:M37))</f>
        <v>52414.635000000002</v>
      </c>
      <c r="N45" s="51" t="s">
        <v>3</v>
      </c>
      <c r="O45" s="51" t="s">
        <v>3</v>
      </c>
    </row>
    <row r="46" spans="1:16" s="63" customFormat="1" ht="15" customHeight="1">
      <c r="A46" s="61"/>
      <c r="B46" s="62"/>
      <c r="C46" s="62"/>
      <c r="D46" s="62"/>
      <c r="E46" s="62"/>
      <c r="F46" s="62"/>
      <c r="G46" s="62"/>
      <c r="H46" s="62"/>
      <c r="I46" s="62"/>
      <c r="J46" s="62"/>
      <c r="K46" s="62"/>
      <c r="L46" s="62"/>
      <c r="M46" s="62"/>
      <c r="N46" s="62"/>
      <c r="O46" s="62"/>
    </row>
    <row r="47" spans="1:16" s="63" customFormat="1" ht="15" customHeight="1">
      <c r="A47" s="64" t="s">
        <v>66</v>
      </c>
      <c r="B47" s="62"/>
      <c r="C47" s="65"/>
      <c r="D47" s="65"/>
      <c r="E47" s="65"/>
      <c r="F47" s="65"/>
      <c r="G47" s="65"/>
      <c r="H47" s="65"/>
      <c r="I47" s="65"/>
      <c r="J47" s="65"/>
      <c r="K47" s="65"/>
      <c r="L47" s="65"/>
      <c r="M47" s="65"/>
      <c r="N47" s="62"/>
      <c r="O47" s="62"/>
    </row>
    <row r="48" spans="1:16" s="63" customFormat="1" ht="15" customHeight="1">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c r="A49" s="67" t="s">
        <v>21</v>
      </c>
      <c r="B49" s="82">
        <f>IF($A$19,"n.a.",B48)</f>
        <v>-6.356215750736907</v>
      </c>
      <c r="C49" s="173">
        <f>IF($A$19,"n.a.",ROUND(C41/C70*100,3))</f>
        <v>-6.2160000000000002</v>
      </c>
      <c r="D49" s="173">
        <f t="shared" ref="D49:M49" si="6">IF($A$19,"n.a.",ROUND(D41/D70*100,3))</f>
        <v>-5.5170000000000003</v>
      </c>
      <c r="E49" s="173">
        <f t="shared" si="6"/>
        <v>-5.2469999999999999</v>
      </c>
      <c r="F49" s="173">
        <f t="shared" si="6"/>
        <v>-5.7320000000000002</v>
      </c>
      <c r="G49" s="173">
        <f t="shared" si="6"/>
        <v>-5.6130000000000004</v>
      </c>
      <c r="H49" s="173">
        <f t="shared" si="6"/>
        <v>-5.97</v>
      </c>
      <c r="I49" s="173">
        <f t="shared" si="6"/>
        <v>-6.0060000000000002</v>
      </c>
      <c r="J49" s="173">
        <f t="shared" si="6"/>
        <v>-6.1449999999999996</v>
      </c>
      <c r="K49" s="173">
        <f t="shared" si="6"/>
        <v>-6.5810000000000004</v>
      </c>
      <c r="L49" s="173">
        <f t="shared" si="6"/>
        <v>-6.2539999999999996</v>
      </c>
      <c r="M49" s="173">
        <f t="shared" si="6"/>
        <v>-5.8849999999999998</v>
      </c>
      <c r="N49" s="173">
        <f>IF($A$19,"n.a.",ROUND(SUM(D41:H41)/SUM(D70:H70)*100,3))</f>
        <v>-5.625</v>
      </c>
      <c r="O49" s="173">
        <f>IF($A$19,"n.a.",ROUND(SUM(D41:M41)/SUM(D70:M70)*100,3))</f>
        <v>-5.9249999999999998</v>
      </c>
    </row>
    <row r="50" spans="1:24" s="63" customFormat="1" ht="15" customHeight="1">
      <c r="A50" s="61"/>
      <c r="B50" s="62"/>
      <c r="C50" s="62"/>
      <c r="D50" s="62"/>
      <c r="E50" s="62"/>
      <c r="F50" s="62"/>
      <c r="G50" s="62"/>
      <c r="H50" s="62"/>
      <c r="I50" s="62"/>
      <c r="J50" s="62"/>
      <c r="K50" s="62"/>
      <c r="L50" s="62"/>
      <c r="M50" s="62"/>
      <c r="N50" s="62"/>
      <c r="O50" s="62"/>
    </row>
    <row r="51" spans="1:24" s="63" customFormat="1" ht="15" customHeight="1">
      <c r="A51" s="64" t="s">
        <v>67</v>
      </c>
      <c r="B51" s="62"/>
      <c r="C51" s="65"/>
      <c r="D51" s="65"/>
      <c r="E51" s="65"/>
      <c r="F51" s="65"/>
      <c r="G51" s="65"/>
      <c r="H51" s="65"/>
      <c r="I51" s="65"/>
      <c r="J51" s="65"/>
      <c r="K51" s="65"/>
      <c r="L51" s="65"/>
      <c r="M51" s="65"/>
      <c r="N51" s="62"/>
      <c r="O51" s="62"/>
    </row>
    <row r="52" spans="1:24" s="63" customFormat="1" ht="15" customHeight="1">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c r="A53" s="67" t="s">
        <v>21</v>
      </c>
      <c r="B53" s="82">
        <f>IF($A$19,"n.a.",B52)</f>
        <v>97.818585463700003</v>
      </c>
      <c r="C53" s="173">
        <f>IF($A$19,"n.a.",ROUND(C45/C70*100,3))</f>
        <v>99.915000000000006</v>
      </c>
      <c r="D53" s="173">
        <f t="shared" ref="D53:M53" si="7">IF($A$19,"n.a.",ROUND(D45/D70*100,3))</f>
        <v>101.803</v>
      </c>
      <c r="E53" s="173">
        <f t="shared" si="7"/>
        <v>103.51</v>
      </c>
      <c r="F53" s="173">
        <f t="shared" si="7"/>
        <v>105.642</v>
      </c>
      <c r="G53" s="173">
        <f t="shared" si="7"/>
        <v>107.50700000000001</v>
      </c>
      <c r="H53" s="173">
        <f t="shared" si="7"/>
        <v>109.574</v>
      </c>
      <c r="I53" s="173">
        <f t="shared" si="7"/>
        <v>111.55800000000001</v>
      </c>
      <c r="J53" s="173">
        <f t="shared" si="7"/>
        <v>113.575</v>
      </c>
      <c r="K53" s="173">
        <f t="shared" si="7"/>
        <v>115.874</v>
      </c>
      <c r="L53" s="173">
        <f t="shared" si="7"/>
        <v>117.788</v>
      </c>
      <c r="M53" s="173">
        <f t="shared" si="7"/>
        <v>119.29600000000001</v>
      </c>
      <c r="N53" s="51" t="s">
        <v>3</v>
      </c>
      <c r="O53" s="51" t="s">
        <v>3</v>
      </c>
    </row>
    <row r="54" spans="1:24" s="73" customFormat="1" ht="15" customHeight="1">
      <c r="A54" s="70"/>
      <c r="B54" s="113"/>
      <c r="C54" s="113"/>
      <c r="D54" s="113"/>
      <c r="E54" s="113"/>
      <c r="F54" s="113"/>
      <c r="G54" s="113"/>
      <c r="H54" s="113"/>
      <c r="I54" s="113"/>
      <c r="J54" s="113"/>
      <c r="K54" s="113"/>
      <c r="L54" s="113"/>
      <c r="M54" s="113"/>
      <c r="N54" s="114"/>
      <c r="O54" s="114"/>
    </row>
    <row r="55" spans="1:24" s="73" customFormat="1" ht="15" customHeight="1">
      <c r="A55" s="66"/>
      <c r="B55" s="74"/>
      <c r="C55" s="74"/>
      <c r="D55" s="74"/>
      <c r="E55" s="74"/>
      <c r="F55" s="74"/>
      <c r="G55" s="74"/>
      <c r="H55" s="74"/>
      <c r="I55" s="74"/>
      <c r="J55" s="74"/>
      <c r="K55" s="74"/>
      <c r="L55" s="74"/>
      <c r="M55" s="74"/>
    </row>
    <row r="56" spans="1:24" s="73" customFormat="1" ht="30.75" customHeight="1">
      <c r="B56" s="215" t="s">
        <v>105</v>
      </c>
      <c r="C56" s="215"/>
      <c r="D56" s="215"/>
      <c r="E56" s="215"/>
      <c r="F56" s="215"/>
      <c r="G56" s="215"/>
      <c r="H56" s="215"/>
      <c r="I56" s="215"/>
      <c r="J56" s="215"/>
      <c r="K56" s="215"/>
      <c r="L56" s="215"/>
      <c r="M56" s="215"/>
      <c r="N56" s="75"/>
    </row>
    <row r="57" spans="1:24" s="73" customFormat="1" ht="15" customHeight="1">
      <c r="B57" s="169"/>
      <c r="C57" s="169"/>
      <c r="D57" s="169"/>
      <c r="E57" s="169"/>
      <c r="F57" s="169"/>
      <c r="G57" s="169"/>
      <c r="H57" s="169"/>
      <c r="I57" s="169"/>
      <c r="J57" s="169"/>
      <c r="K57" s="169"/>
      <c r="L57" s="169"/>
      <c r="M57" s="169"/>
      <c r="N57" s="75"/>
    </row>
    <row r="58" spans="1:24" s="73" customFormat="1" ht="15" customHeight="1">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c r="A61" s="39" t="s">
        <v>21</v>
      </c>
      <c r="B61" s="82">
        <f>IF($A$19,"n.a.",B60)</f>
        <v>2.734</v>
      </c>
      <c r="C61" s="82">
        <f>IF($A$19,"n.a.",C60)</f>
        <v>2.1240000000000001</v>
      </c>
      <c r="D61" s="82">
        <f t="shared" ref="D61:L61" si="8">IF($A$19,"n.a.",D60)</f>
        <v>1.827</v>
      </c>
      <c r="E61" s="82">
        <f t="shared" si="8"/>
        <v>1.7629999999999999</v>
      </c>
      <c r="F61" s="82">
        <f t="shared" si="8"/>
        <v>1.744</v>
      </c>
      <c r="G61" s="82">
        <f t="shared" si="8"/>
        <v>1.786</v>
      </c>
      <c r="H61" s="82">
        <f t="shared" si="8"/>
        <v>1.821</v>
      </c>
      <c r="I61" s="82">
        <f t="shared" si="8"/>
        <v>1.8220000000000001</v>
      </c>
      <c r="J61" s="82">
        <f t="shared" si="8"/>
        <v>1.8420000000000001</v>
      </c>
      <c r="K61" s="82">
        <f t="shared" si="8"/>
        <v>1.8260000000000001</v>
      </c>
      <c r="L61" s="82">
        <f t="shared" si="8"/>
        <v>1.7969999999999999</v>
      </c>
      <c r="M61" s="82">
        <f>IF($A$19,"n.a.",M60)</f>
        <v>1.76</v>
      </c>
      <c r="N61" s="80"/>
      <c r="O61" s="80"/>
      <c r="P61" s="81"/>
      <c r="Q61" s="81"/>
      <c r="R61" s="81"/>
      <c r="S61" s="81"/>
      <c r="T61" s="81"/>
      <c r="U61" s="81"/>
      <c r="V61" s="81"/>
      <c r="W61" s="81"/>
      <c r="X61" s="81"/>
    </row>
    <row r="62" spans="1:24" s="79" customFormat="1" ht="15" customHeight="1">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c r="A64" s="39" t="s">
        <v>21</v>
      </c>
      <c r="B64" s="68">
        <f>IF($A$19,"n.a.",B63)</f>
        <v>23290.9</v>
      </c>
      <c r="C64" s="68">
        <f>IF($A$19,"n.a.",C63)</f>
        <v>23785.8</v>
      </c>
      <c r="D64" s="68">
        <f t="shared" ref="D64:H64" si="9">IF($A$19,"n.a.",D63)</f>
        <v>24220.5</v>
      </c>
      <c r="E64" s="68">
        <f t="shared" si="9"/>
        <v>24647.599999999999</v>
      </c>
      <c r="F64" s="68">
        <f t="shared" si="9"/>
        <v>25077.7</v>
      </c>
      <c r="G64" s="68">
        <f t="shared" si="9"/>
        <v>25525.599999999999</v>
      </c>
      <c r="H64" s="68">
        <f t="shared" si="9"/>
        <v>25990.7</v>
      </c>
      <c r="I64" s="68">
        <f>IF($A$19,"n.a.",I63)</f>
        <v>26464.3</v>
      </c>
      <c r="J64" s="68">
        <f t="shared" ref="J64:L64" si="10">IF($A$19,"n.a.",J63)</f>
        <v>26952</v>
      </c>
      <c r="K64" s="68">
        <f t="shared" si="10"/>
        <v>27444.400000000001</v>
      </c>
      <c r="L64" s="68">
        <f t="shared" si="10"/>
        <v>27937.8</v>
      </c>
      <c r="M64" s="68">
        <f>IF($A$19,"n.a.",M63)</f>
        <v>28429.599999999999</v>
      </c>
      <c r="N64" s="80"/>
      <c r="O64" s="80"/>
      <c r="P64" s="81"/>
      <c r="Q64" s="81"/>
      <c r="R64" s="81"/>
      <c r="S64" s="81"/>
      <c r="T64" s="81"/>
      <c r="U64" s="81"/>
      <c r="V64" s="81"/>
      <c r="W64" s="81"/>
      <c r="X64" s="81"/>
    </row>
    <row r="65" spans="1:24" s="79" customFormat="1" ht="15" customHeight="1">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c r="A67" s="39" t="s">
        <v>21</v>
      </c>
      <c r="B67" s="68">
        <f>IF($A$19,"n.a.",B66)</f>
        <v>29166.2</v>
      </c>
      <c r="C67" s="68">
        <f>IF($A$19,"n.a.",C66)</f>
        <v>30441.1</v>
      </c>
      <c r="D67" s="68">
        <f t="shared" ref="D67:G67" si="11">IF($A$19,"n.a.",D66)</f>
        <v>31640.6</v>
      </c>
      <c r="E67" s="68">
        <f t="shared" si="11"/>
        <v>32841</v>
      </c>
      <c r="F67" s="68">
        <f t="shared" si="11"/>
        <v>34078.400000000001</v>
      </c>
      <c r="G67" s="68">
        <f t="shared" si="11"/>
        <v>35378.400000000001</v>
      </c>
      <c r="H67" s="68">
        <f>IF($A$19,"n.a.",H66)</f>
        <v>36738.800000000003</v>
      </c>
      <c r="I67" s="68">
        <f t="shared" ref="I67:L67" si="12">IF($A$19,"n.a.",I66)</f>
        <v>38151.300000000003</v>
      </c>
      <c r="J67" s="68">
        <f t="shared" si="12"/>
        <v>39626.699999999997</v>
      </c>
      <c r="K67" s="68">
        <f t="shared" si="12"/>
        <v>41154.199999999997</v>
      </c>
      <c r="L67" s="68">
        <f t="shared" si="12"/>
        <v>42727.6</v>
      </c>
      <c r="M67" s="68">
        <f>IF($A$19,"n.a.",M66)</f>
        <v>44345.4</v>
      </c>
      <c r="N67" s="80"/>
      <c r="O67" s="80"/>
      <c r="P67" s="81"/>
      <c r="Q67" s="81"/>
      <c r="R67" s="81"/>
      <c r="S67" s="81"/>
      <c r="T67" s="81"/>
      <c r="U67" s="81"/>
      <c r="V67" s="81"/>
      <c r="W67" s="81"/>
      <c r="X67" s="81"/>
    </row>
    <row r="68" spans="1:24" s="79" customFormat="1" ht="15" customHeight="1">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c r="A70" s="39" t="s">
        <v>21</v>
      </c>
      <c r="B70" s="68">
        <f>IF($A$19,"n.a.",B69)</f>
        <v>28823</v>
      </c>
      <c r="C70" s="68">
        <f>IF($A$19,"n.a.",C69)</f>
        <v>30136.1</v>
      </c>
      <c r="D70" s="68">
        <f t="shared" ref="D70:L70" si="13">IF($A$19,"n.a.",D69)</f>
        <v>31341.3</v>
      </c>
      <c r="E70" s="68">
        <f t="shared" si="13"/>
        <v>32538.1</v>
      </c>
      <c r="F70" s="68">
        <f t="shared" si="13"/>
        <v>33764.5</v>
      </c>
      <c r="G70" s="68">
        <f t="shared" si="13"/>
        <v>35047.1</v>
      </c>
      <c r="H70" s="68">
        <f t="shared" si="13"/>
        <v>36393.699999999997</v>
      </c>
      <c r="I70" s="68">
        <f t="shared" si="13"/>
        <v>37792.1</v>
      </c>
      <c r="J70" s="68">
        <f t="shared" si="13"/>
        <v>39252.400000000001</v>
      </c>
      <c r="K70" s="68">
        <f t="shared" si="13"/>
        <v>40767.9</v>
      </c>
      <c r="L70" s="68">
        <f t="shared" si="13"/>
        <v>42330.400000000001</v>
      </c>
      <c r="M70" s="68">
        <f>IF($A$19,"n.a.",M69)</f>
        <v>43936.5</v>
      </c>
      <c r="N70" s="80"/>
      <c r="O70" s="80"/>
      <c r="P70" s="81"/>
      <c r="Q70" s="81"/>
      <c r="R70" s="81"/>
      <c r="S70" s="81"/>
      <c r="T70" s="81"/>
      <c r="U70" s="81"/>
      <c r="V70" s="81"/>
      <c r="W70" s="81"/>
      <c r="X70" s="81"/>
    </row>
    <row r="71" spans="1:24" s="79" customFormat="1" ht="15" customHeight="1">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c r="A73" s="39" t="s">
        <v>21</v>
      </c>
      <c r="B73" s="82">
        <f>IF($A$19,"n.a.",B72)</f>
        <v>168.24299999999999</v>
      </c>
      <c r="C73" s="82">
        <f>IF($A$19,"n.a.",C72)</f>
        <v>170.66200000000001</v>
      </c>
      <c r="D73" s="82">
        <f t="shared" ref="D73:L73" si="14">IF($A$19,"n.a.",D72)</f>
        <v>173.375</v>
      </c>
      <c r="E73" s="82">
        <f t="shared" si="14"/>
        <v>174.006</v>
      </c>
      <c r="F73" s="82">
        <f t="shared" si="14"/>
        <v>174.614</v>
      </c>
      <c r="G73" s="82">
        <f t="shared" si="14"/>
        <v>175.29499999999999</v>
      </c>
      <c r="H73" s="82">
        <f t="shared" si="14"/>
        <v>176.03</v>
      </c>
      <c r="I73" s="82">
        <f t="shared" si="14"/>
        <v>176.80099999999999</v>
      </c>
      <c r="J73" s="82">
        <f t="shared" si="14"/>
        <v>177.55799999999999</v>
      </c>
      <c r="K73" s="82">
        <f t="shared" si="14"/>
        <v>178.17599999999999</v>
      </c>
      <c r="L73" s="82">
        <f t="shared" si="14"/>
        <v>178.79499999999999</v>
      </c>
      <c r="M73" s="82">
        <f>IF($A$19,"n.a.",M72)</f>
        <v>179.386</v>
      </c>
      <c r="N73" s="80"/>
      <c r="O73" s="80"/>
      <c r="P73" s="81"/>
      <c r="Q73" s="81"/>
      <c r="R73" s="81"/>
      <c r="S73" s="81"/>
      <c r="T73" s="81"/>
      <c r="U73" s="81"/>
      <c r="V73" s="81"/>
      <c r="W73" s="81"/>
      <c r="X73" s="81"/>
    </row>
    <row r="74" spans="1:24" s="79" customFormat="1" ht="15" customHeight="1">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c r="A76" s="39" t="s">
        <v>21</v>
      </c>
      <c r="B76" s="86">
        <f>IF($A$19,"n.a.",B75)</f>
        <v>4.1879999999999997</v>
      </c>
      <c r="C76" s="87">
        <f>IF($A$19,"n.a.",ROUND(C75+C13,3))</f>
        <v>4.1929999999999996</v>
      </c>
      <c r="D76" s="87">
        <f t="shared" ref="D76:M76" si="15">IF($A$19,"n.a.",ROUND(D75+D13,3))</f>
        <v>4.0350000000000001</v>
      </c>
      <c r="E76" s="87">
        <f t="shared" si="15"/>
        <v>4.0140000000000002</v>
      </c>
      <c r="F76" s="87">
        <f t="shared" si="15"/>
        <v>3.9940000000000002</v>
      </c>
      <c r="G76" s="87">
        <f t="shared" si="15"/>
        <v>3.9710000000000001</v>
      </c>
      <c r="H76" s="87">
        <f t="shared" si="15"/>
        <v>3.95</v>
      </c>
      <c r="I76" s="87">
        <f t="shared" si="15"/>
        <v>3.9359999999999999</v>
      </c>
      <c r="J76" s="87">
        <f t="shared" si="15"/>
        <v>3.9260000000000002</v>
      </c>
      <c r="K76" s="87">
        <f t="shared" si="15"/>
        <v>3.915</v>
      </c>
      <c r="L76" s="87">
        <f t="shared" si="15"/>
        <v>3.8969999999999998</v>
      </c>
      <c r="M76" s="87">
        <f t="shared" si="15"/>
        <v>3.8719999999999999</v>
      </c>
      <c r="N76" s="80"/>
      <c r="O76" s="80"/>
      <c r="P76" s="81"/>
      <c r="Q76" s="81"/>
      <c r="R76" s="81"/>
      <c r="S76" s="81"/>
      <c r="T76" s="81"/>
      <c r="U76" s="81"/>
      <c r="V76" s="81"/>
      <c r="W76" s="81"/>
      <c r="X76" s="81"/>
    </row>
    <row r="77" spans="1:24" s="79" customFormat="1" ht="15" customHeight="1">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c r="A79" s="39" t="s">
        <v>21</v>
      </c>
      <c r="B79" s="82">
        <f t="shared" ref="B79:L79" si="16">IF($A$19,"n.a.",B78)</f>
        <v>2.4129999999999998</v>
      </c>
      <c r="C79" s="82">
        <f>IF($A$19,"n.a.",C78)</f>
        <v>2.198</v>
      </c>
      <c r="D79" s="82">
        <f t="shared" si="16"/>
        <v>2.0750000000000002</v>
      </c>
      <c r="E79" s="82">
        <f t="shared" si="16"/>
        <v>1.9950000000000001</v>
      </c>
      <c r="F79" s="82">
        <f t="shared" si="16"/>
        <v>1.988</v>
      </c>
      <c r="G79" s="82">
        <f t="shared" si="16"/>
        <v>1.992</v>
      </c>
      <c r="H79" s="82">
        <f t="shared" si="16"/>
        <v>1.9870000000000001</v>
      </c>
      <c r="I79" s="82">
        <f t="shared" si="16"/>
        <v>1.986</v>
      </c>
      <c r="J79" s="82">
        <f t="shared" si="16"/>
        <v>1.9870000000000001</v>
      </c>
      <c r="K79" s="82">
        <f t="shared" si="16"/>
        <v>1.9910000000000001</v>
      </c>
      <c r="L79" s="82">
        <f t="shared" si="16"/>
        <v>1.9890000000000001</v>
      </c>
      <c r="M79" s="82">
        <f>IF($A$19,"n.a.",M78)</f>
        <v>1.99</v>
      </c>
      <c r="N79" s="80"/>
      <c r="O79" s="80"/>
    </row>
    <row r="80" spans="1:24" s="79" customFormat="1" ht="15" customHeight="1">
      <c r="A80" s="64" t="s">
        <v>75</v>
      </c>
      <c r="B80" s="84"/>
      <c r="C80" s="88"/>
      <c r="D80" s="88"/>
      <c r="E80" s="88"/>
      <c r="F80" s="88"/>
      <c r="G80" s="88"/>
      <c r="H80" s="88"/>
      <c r="I80" s="88"/>
      <c r="J80" s="88"/>
      <c r="K80" s="88"/>
      <c r="L80" s="88"/>
      <c r="M80" s="88"/>
      <c r="N80" s="78"/>
      <c r="O80" s="78"/>
    </row>
    <row r="81" spans="1:17" s="28" customFormat="1" ht="15" customHeight="1">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c r="A82" s="39" t="s">
        <v>21</v>
      </c>
      <c r="B82" s="82">
        <f>IF($A$19,"n.a.",B81)</f>
        <v>125.223</v>
      </c>
      <c r="C82" s="82">
        <f>IF($A$19,"n.a.",C81)</f>
        <v>127.976</v>
      </c>
      <c r="D82" s="82">
        <f t="shared" ref="D82:L82" si="17">IF($A$19,"n.a.",D81)</f>
        <v>130.631</v>
      </c>
      <c r="E82" s="82">
        <f t="shared" si="17"/>
        <v>133.238</v>
      </c>
      <c r="F82" s="82">
        <f t="shared" si="17"/>
        <v>135.887</v>
      </c>
      <c r="G82" s="82">
        <f t="shared" si="17"/>
        <v>138.595</v>
      </c>
      <c r="H82" s="82">
        <f t="shared" si="17"/>
        <v>141.34899999999999</v>
      </c>
      <c r="I82" s="82">
        <f t="shared" si="17"/>
        <v>144.15700000000001</v>
      </c>
      <c r="J82" s="82">
        <f t="shared" si="17"/>
        <v>147.023</v>
      </c>
      <c r="K82" s="82">
        <f t="shared" si="17"/>
        <v>149.94999999999999</v>
      </c>
      <c r="L82" s="82">
        <f t="shared" si="17"/>
        <v>152.934</v>
      </c>
      <c r="M82" s="82">
        <f>IF($A$19,"n.a.",M81)</f>
        <v>155.97900000000001</v>
      </c>
      <c r="N82" s="80"/>
      <c r="O82" s="80"/>
    </row>
    <row r="83" spans="1:17" s="79" customFormat="1" ht="15" customHeight="1">
      <c r="A83" s="64" t="s">
        <v>76</v>
      </c>
      <c r="B83" s="84"/>
      <c r="C83" s="88"/>
      <c r="D83" s="88"/>
      <c r="E83" s="88"/>
      <c r="F83" s="88"/>
      <c r="G83" s="88"/>
      <c r="H83" s="88"/>
      <c r="I83" s="88"/>
      <c r="J83" s="88"/>
      <c r="K83" s="88"/>
      <c r="L83" s="88"/>
      <c r="M83" s="88"/>
      <c r="N83" s="78"/>
      <c r="O83" s="78"/>
    </row>
    <row r="84" spans="1:17" s="28" customFormat="1" ht="15" customHeight="1">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c r="A85" s="39" t="s">
        <v>21</v>
      </c>
      <c r="B85" s="82">
        <f>IF($A$19,"n.a.",B84)</f>
        <v>168.291</v>
      </c>
      <c r="C85" s="82">
        <f>IF($A$19,"n.a.",C84)</f>
        <v>174.15600000000001</v>
      </c>
      <c r="D85" s="82">
        <f t="shared" ref="D85:L85" si="18">IF($A$19,"n.a.",D84)</f>
        <v>180</v>
      </c>
      <c r="E85" s="82">
        <f t="shared" si="18"/>
        <v>185.768</v>
      </c>
      <c r="F85" s="82">
        <f t="shared" si="18"/>
        <v>191.52600000000001</v>
      </c>
      <c r="G85" s="82">
        <f t="shared" si="18"/>
        <v>197.32499999999999</v>
      </c>
      <c r="H85" s="82">
        <f t="shared" si="18"/>
        <v>203.21299999999999</v>
      </c>
      <c r="I85" s="82">
        <f t="shared" si="18"/>
        <v>209.221</v>
      </c>
      <c r="J85" s="82">
        <f t="shared" si="18"/>
        <v>215.381</v>
      </c>
      <c r="K85" s="82">
        <f t="shared" si="18"/>
        <v>221.71600000000001</v>
      </c>
      <c r="L85" s="82">
        <f t="shared" si="18"/>
        <v>228.22499999999999</v>
      </c>
      <c r="M85" s="82">
        <f>IF($A$19,"n.a.",M84)</f>
        <v>234.91</v>
      </c>
      <c r="N85" s="80"/>
      <c r="O85" s="80"/>
      <c r="Q85" s="90"/>
    </row>
    <row r="86" spans="1:17" s="73" customFormat="1" ht="15" customHeight="1">
      <c r="A86" s="41"/>
      <c r="B86" s="91"/>
      <c r="C86" s="91"/>
      <c r="D86" s="91"/>
      <c r="E86" s="91"/>
      <c r="F86" s="91"/>
      <c r="G86" s="91"/>
      <c r="H86" s="91"/>
      <c r="I86" s="91"/>
      <c r="J86" s="91"/>
      <c r="K86" s="91"/>
      <c r="L86" s="92"/>
      <c r="M86" s="92"/>
    </row>
    <row r="87" spans="1:17" ht="15" customHeight="1">
      <c r="A87" s="93"/>
      <c r="B87" s="54"/>
      <c r="C87" s="54"/>
      <c r="D87" s="54"/>
      <c r="E87" s="54"/>
      <c r="F87" s="54"/>
      <c r="G87" s="54"/>
      <c r="H87" s="54"/>
      <c r="I87" s="54"/>
      <c r="J87" s="54"/>
      <c r="K87" s="54"/>
      <c r="L87" s="54"/>
      <c r="M87" s="54"/>
      <c r="N87" s="94"/>
      <c r="O87" s="94"/>
    </row>
    <row r="88" spans="1:17" s="63" customFormat="1" ht="15" customHeight="1">
      <c r="A88" s="217" t="s">
        <v>32</v>
      </c>
      <c r="B88" s="217"/>
      <c r="C88" s="217"/>
      <c r="D88" s="217"/>
      <c r="E88" s="217"/>
      <c r="F88" s="217"/>
      <c r="G88" s="217"/>
      <c r="H88" s="217"/>
      <c r="I88" s="217"/>
      <c r="J88" s="217"/>
      <c r="K88" s="217"/>
      <c r="L88" s="217"/>
      <c r="M88" s="217"/>
      <c r="N88" s="95"/>
      <c r="O88" s="95"/>
    </row>
    <row r="89" spans="1:17" s="63" customFormat="1" ht="15" customHeight="1">
      <c r="A89" s="170"/>
      <c r="B89" s="170"/>
      <c r="C89" s="170"/>
      <c r="D89" s="170"/>
      <c r="E89" s="170"/>
      <c r="F89" s="170"/>
      <c r="G89" s="170"/>
      <c r="H89" s="170"/>
      <c r="I89" s="170"/>
      <c r="J89" s="170"/>
      <c r="K89" s="170"/>
      <c r="L89" s="170"/>
      <c r="M89" s="170"/>
      <c r="N89" s="95"/>
      <c r="O89" s="95"/>
    </row>
    <row r="90" spans="1:17" ht="15" customHeight="1">
      <c r="A90" s="212" t="s">
        <v>24</v>
      </c>
      <c r="B90" s="212"/>
      <c r="C90" s="212"/>
      <c r="D90" s="212"/>
      <c r="E90" s="212"/>
      <c r="F90" s="212"/>
      <c r="G90" s="212"/>
      <c r="H90" s="212"/>
      <c r="I90" s="212"/>
      <c r="J90" s="212"/>
      <c r="K90" s="212"/>
      <c r="L90" s="212"/>
      <c r="M90" s="212"/>
      <c r="N90" s="98"/>
      <c r="O90" s="98"/>
    </row>
    <row r="91" spans="1:17" ht="15" customHeight="1">
      <c r="A91" s="207"/>
      <c r="B91" s="207"/>
      <c r="C91" s="207"/>
      <c r="D91" s="207"/>
      <c r="E91" s="207"/>
      <c r="F91" s="207"/>
      <c r="G91" s="207"/>
      <c r="H91" s="207"/>
      <c r="I91" s="207"/>
      <c r="J91" s="207"/>
      <c r="K91" s="207"/>
      <c r="L91" s="207"/>
      <c r="M91" s="207"/>
      <c r="N91" s="94"/>
      <c r="O91" s="94"/>
    </row>
    <row r="92" spans="1:17" ht="15" customHeight="1">
      <c r="A92" s="216" t="s">
        <v>114</v>
      </c>
      <c r="B92" s="216"/>
      <c r="C92" s="216"/>
      <c r="D92" s="216"/>
      <c r="E92" s="216"/>
      <c r="F92" s="216"/>
      <c r="G92" s="216"/>
      <c r="H92" s="216"/>
      <c r="I92" s="216"/>
      <c r="J92" s="216"/>
      <c r="K92" s="216"/>
      <c r="L92" s="216"/>
      <c r="M92" s="216"/>
      <c r="N92" s="93"/>
      <c r="O92" s="93"/>
    </row>
    <row r="93" spans="1:17" ht="15" customHeight="1">
      <c r="A93" s="93"/>
      <c r="B93" s="54"/>
      <c r="C93" s="54"/>
      <c r="D93" s="54"/>
      <c r="E93" s="54"/>
      <c r="F93" s="54"/>
      <c r="G93" s="54"/>
      <c r="H93" s="54"/>
      <c r="I93" s="54"/>
      <c r="J93" s="54"/>
      <c r="K93" s="54"/>
      <c r="L93" s="54"/>
      <c r="M93" s="54"/>
      <c r="N93" s="94"/>
      <c r="O93" s="94"/>
    </row>
    <row r="94" spans="1:17" ht="15" customHeight="1">
      <c r="A94" s="212" t="s">
        <v>25</v>
      </c>
      <c r="B94" s="212"/>
      <c r="C94" s="212"/>
      <c r="D94" s="212"/>
      <c r="E94" s="212"/>
      <c r="F94" s="212"/>
      <c r="G94" s="212"/>
      <c r="H94" s="212"/>
      <c r="I94" s="212"/>
      <c r="J94" s="212"/>
      <c r="K94" s="212"/>
      <c r="L94" s="212"/>
      <c r="M94" s="212"/>
      <c r="N94" s="93"/>
      <c r="O94" s="93"/>
    </row>
    <row r="95" spans="1:17" ht="15" customHeight="1">
      <c r="A95" s="93"/>
      <c r="B95" s="54"/>
      <c r="C95" s="54"/>
      <c r="D95" s="54"/>
      <c r="E95" s="54"/>
      <c r="F95" s="54"/>
      <c r="G95" s="54"/>
      <c r="H95" s="54"/>
      <c r="I95" s="54"/>
      <c r="J95" s="54"/>
      <c r="K95" s="54"/>
      <c r="L95" s="54"/>
      <c r="M95" s="54"/>
      <c r="N95" s="94"/>
      <c r="O95" s="94"/>
    </row>
    <row r="96" spans="1:17" ht="15" customHeight="1">
      <c r="A96" s="212" t="s">
        <v>20</v>
      </c>
      <c r="B96" s="212"/>
      <c r="C96" s="212"/>
      <c r="D96" s="212"/>
      <c r="E96" s="212"/>
      <c r="F96" s="212"/>
      <c r="G96" s="212"/>
      <c r="H96" s="212"/>
      <c r="I96" s="212"/>
      <c r="J96" s="212"/>
      <c r="K96" s="212"/>
      <c r="L96" s="212"/>
      <c r="M96" s="212"/>
      <c r="N96" s="168"/>
      <c r="O96" s="168"/>
    </row>
    <row r="97" spans="1:15" ht="15" customHeight="1">
      <c r="A97" s="168"/>
      <c r="B97" s="168"/>
      <c r="C97" s="168"/>
      <c r="D97" s="168"/>
      <c r="E97" s="168"/>
      <c r="F97" s="168"/>
      <c r="G97" s="168"/>
      <c r="H97" s="168"/>
      <c r="I97" s="168"/>
      <c r="J97" s="168"/>
      <c r="K97" s="168"/>
      <c r="L97" s="168"/>
      <c r="M97" s="168"/>
      <c r="N97" s="168"/>
      <c r="O97" s="168"/>
    </row>
    <row r="98" spans="1:15" ht="15" customHeight="1">
      <c r="A98" s="212" t="s">
        <v>88</v>
      </c>
      <c r="B98" s="212"/>
      <c r="C98" s="212"/>
      <c r="D98" s="212"/>
      <c r="E98" s="212"/>
      <c r="F98" s="212"/>
      <c r="G98" s="212"/>
      <c r="H98" s="212"/>
      <c r="I98" s="212"/>
      <c r="J98" s="212"/>
      <c r="K98" s="212"/>
      <c r="L98" s="212"/>
      <c r="M98" s="212"/>
      <c r="N98" s="98"/>
      <c r="O98" s="98"/>
    </row>
    <row r="99" spans="1:15" s="28" customFormat="1" ht="14.25" customHeight="1">
      <c r="A99" s="167"/>
      <c r="B99" s="167"/>
      <c r="C99" s="167"/>
      <c r="D99" s="167"/>
      <c r="E99" s="167"/>
      <c r="F99" s="167"/>
      <c r="G99" s="167"/>
      <c r="H99" s="167"/>
      <c r="I99" s="167"/>
      <c r="J99" s="167"/>
      <c r="K99" s="167"/>
      <c r="L99" s="167"/>
      <c r="M99" s="167"/>
      <c r="N99" s="167"/>
      <c r="O99" s="167"/>
    </row>
    <row r="100" spans="1:15" s="28" customFormat="1" ht="14.25" customHeight="1">
      <c r="A100" s="211" t="s">
        <v>18</v>
      </c>
      <c r="B100" s="211"/>
      <c r="C100" s="211"/>
      <c r="D100" s="211"/>
      <c r="E100" s="211"/>
      <c r="F100" s="211"/>
      <c r="G100" s="211"/>
      <c r="H100" s="211"/>
      <c r="I100" s="211"/>
      <c r="J100" s="211"/>
      <c r="K100" s="211"/>
      <c r="L100" s="211"/>
      <c r="M100" s="211"/>
      <c r="N100" s="167"/>
      <c r="O100" s="167"/>
    </row>
    <row r="101" spans="1:15" s="28" customFormat="1" ht="14.25" customHeight="1">
      <c r="A101" s="167"/>
      <c r="B101" s="167"/>
      <c r="C101" s="167"/>
      <c r="D101" s="167"/>
      <c r="E101" s="167"/>
      <c r="F101" s="167"/>
      <c r="G101" s="167"/>
      <c r="H101" s="167"/>
      <c r="I101" s="167"/>
      <c r="J101" s="167"/>
      <c r="K101" s="167"/>
      <c r="L101" s="167"/>
      <c r="M101" s="167"/>
      <c r="N101" s="167"/>
      <c r="O101" s="167"/>
    </row>
    <row r="102" spans="1:15" ht="15" customHeight="1">
      <c r="A102" s="212" t="s">
        <v>16</v>
      </c>
      <c r="B102" s="212"/>
      <c r="C102" s="212"/>
      <c r="D102" s="212"/>
      <c r="E102" s="212"/>
      <c r="F102" s="212"/>
      <c r="G102" s="212"/>
      <c r="H102" s="212"/>
      <c r="I102" s="212"/>
      <c r="J102" s="212"/>
      <c r="K102" s="212"/>
      <c r="L102" s="212"/>
      <c r="M102" s="212"/>
      <c r="N102" s="98"/>
      <c r="O102" s="98"/>
    </row>
    <row r="103" spans="1:15" ht="15" customHeight="1">
      <c r="A103" s="93"/>
      <c r="B103" s="97"/>
      <c r="C103" s="97"/>
      <c r="D103" s="97"/>
      <c r="E103" s="97"/>
      <c r="F103" s="97"/>
      <c r="G103" s="97"/>
      <c r="H103" s="97"/>
      <c r="I103" s="97"/>
      <c r="J103" s="97"/>
      <c r="K103" s="97"/>
      <c r="L103" s="97"/>
      <c r="M103" s="97"/>
      <c r="N103" s="98"/>
      <c r="O103" s="98"/>
    </row>
    <row r="104" spans="1:15" ht="15" customHeight="1">
      <c r="A104" s="212" t="s">
        <v>14</v>
      </c>
      <c r="B104" s="212"/>
      <c r="C104" s="212"/>
      <c r="D104" s="212"/>
      <c r="E104" s="212"/>
      <c r="F104" s="212"/>
      <c r="G104" s="212"/>
      <c r="H104" s="212"/>
      <c r="I104" s="212"/>
      <c r="J104" s="212"/>
      <c r="K104" s="212"/>
      <c r="L104" s="212"/>
      <c r="M104" s="212"/>
      <c r="N104" s="93"/>
      <c r="O104" s="93"/>
    </row>
    <row r="105" spans="1:15" ht="15.75" customHeight="1">
      <c r="A105" s="100"/>
      <c r="B105" s="101"/>
      <c r="C105" s="101"/>
      <c r="D105" s="101"/>
      <c r="E105" s="101"/>
      <c r="F105" s="101"/>
      <c r="G105" s="101"/>
      <c r="H105" s="101"/>
      <c r="I105" s="101"/>
      <c r="J105" s="101"/>
      <c r="K105" s="101"/>
      <c r="L105" s="101"/>
      <c r="M105" s="101"/>
      <c r="N105" s="98"/>
      <c r="O105" s="98"/>
    </row>
    <row r="106" spans="1:15" ht="15" hidden="1" customHeight="1">
      <c r="A106" s="93"/>
      <c r="B106" s="97"/>
      <c r="C106" s="97"/>
      <c r="D106" s="97"/>
      <c r="E106" s="97"/>
      <c r="F106" s="97"/>
      <c r="G106" s="97"/>
      <c r="H106" s="97"/>
      <c r="I106" s="97"/>
      <c r="J106" s="97"/>
      <c r="K106" s="97"/>
      <c r="L106" s="97"/>
      <c r="M106" s="97"/>
      <c r="N106" s="98"/>
      <c r="O106" s="98"/>
    </row>
    <row r="107" spans="1:15" s="179" customFormat="1" ht="15" hidden="1" customHeight="1">
      <c r="A107" s="177" t="s">
        <v>26</v>
      </c>
      <c r="B107" s="178"/>
      <c r="C107" s="178"/>
      <c r="D107" s="178"/>
      <c r="E107" s="178"/>
      <c r="F107" s="178"/>
      <c r="G107" s="178"/>
      <c r="H107" s="178"/>
      <c r="I107" s="178"/>
      <c r="J107" s="178"/>
      <c r="K107" s="178"/>
      <c r="L107" s="178"/>
      <c r="M107" s="178"/>
      <c r="N107" s="178"/>
      <c r="O107" s="178"/>
    </row>
    <row r="108" spans="1:15" ht="15" hidden="1" customHeight="1">
      <c r="A108" s="4" t="s">
        <v>28</v>
      </c>
      <c r="C108" s="98">
        <v>3.366015027243809</v>
      </c>
      <c r="D108" s="98">
        <v>7.1344265306031476</v>
      </c>
      <c r="E108" s="98">
        <v>3.9586523809465182</v>
      </c>
      <c r="F108" s="98">
        <v>3.178776186435289</v>
      </c>
      <c r="G108" s="98">
        <v>2.5683347547328519</v>
      </c>
      <c r="H108" s="98">
        <v>2.3651628693527158</v>
      </c>
      <c r="I108" s="98">
        <v>1.788458560221635</v>
      </c>
      <c r="J108" s="98">
        <v>1.627645365543678</v>
      </c>
      <c r="K108" s="98">
        <v>1.195117133695355</v>
      </c>
      <c r="L108" s="98">
        <v>1.169814291766897</v>
      </c>
      <c r="M108" s="98">
        <v>1.021558874309122</v>
      </c>
    </row>
    <row r="109" spans="1:15" ht="15" hidden="1" customHeight="1">
      <c r="C109" s="3">
        <v>0</v>
      </c>
      <c r="D109" s="3">
        <v>6.7408150218569638</v>
      </c>
      <c r="E109" s="3">
        <v>11.398475831464641</v>
      </c>
      <c r="F109" s="3">
        <v>6.475789920889035</v>
      </c>
      <c r="G109" s="3">
        <v>5.1867777640212216</v>
      </c>
      <c r="H109" s="3">
        <v>4.2336328703912054</v>
      </c>
      <c r="I109" s="3">
        <v>3.853422246582582</v>
      </c>
      <c r="J109" s="3">
        <v>2.9446207135234062</v>
      </c>
      <c r="K109" s="3">
        <v>2.648376905524223</v>
      </c>
      <c r="L109" s="3">
        <v>1.966775755729856</v>
      </c>
      <c r="M109" s="3">
        <v>1.93351823530169</v>
      </c>
    </row>
    <row r="110" spans="1:15" ht="15" hidden="1" customHeight="1">
      <c r="C110" s="3">
        <v>0</v>
      </c>
      <c r="D110" s="3">
        <v>0</v>
      </c>
      <c r="E110" s="3">
        <v>8.9312260896301652</v>
      </c>
      <c r="F110" s="3">
        <v>13.827503981659699</v>
      </c>
      <c r="G110" s="3">
        <v>7.907360524941879</v>
      </c>
      <c r="H110" s="3">
        <v>6.3282634542422471</v>
      </c>
      <c r="I110" s="3">
        <v>5.1828294268156299</v>
      </c>
      <c r="J110" s="3">
        <v>4.6984024365007997</v>
      </c>
      <c r="K110" s="3">
        <v>3.6037323561159842</v>
      </c>
      <c r="L110" s="3">
        <v>3.227721126619457</v>
      </c>
      <c r="M110" s="3">
        <v>2.4067185663308091</v>
      </c>
    </row>
    <row r="111" spans="1:15" ht="15" hidden="1" customHeight="1">
      <c r="C111" s="3">
        <v>0</v>
      </c>
      <c r="D111" s="3">
        <v>0</v>
      </c>
      <c r="E111" s="3">
        <v>0</v>
      </c>
      <c r="F111" s="3">
        <v>10.31152000787089</v>
      </c>
      <c r="G111" s="3">
        <v>15.482384420110749</v>
      </c>
      <c r="H111" s="3">
        <v>8.8817367022157185</v>
      </c>
      <c r="I111" s="3">
        <v>7.1062166399661919</v>
      </c>
      <c r="J111" s="3">
        <v>5.826228536707319</v>
      </c>
      <c r="K111" s="3">
        <v>5.2749082433202972</v>
      </c>
      <c r="L111" s="3">
        <v>4.050708474457835</v>
      </c>
      <c r="M111" s="3">
        <v>3.6232711708184548</v>
      </c>
    </row>
    <row r="112" spans="1:15" ht="15" hidden="1" customHeight="1">
      <c r="C112" s="3">
        <v>0</v>
      </c>
      <c r="D112" s="3">
        <v>0</v>
      </c>
      <c r="E112" s="3">
        <v>0</v>
      </c>
      <c r="F112" s="3">
        <v>0</v>
      </c>
      <c r="G112" s="3">
        <v>11.372027979699681</v>
      </c>
      <c r="H112" s="3">
        <v>16.979845553409401</v>
      </c>
      <c r="I112" s="3">
        <v>9.7360654095453683</v>
      </c>
      <c r="J112" s="3">
        <v>7.78924664558469</v>
      </c>
      <c r="K112" s="3">
        <v>6.3862092159709292</v>
      </c>
      <c r="L112" s="3">
        <v>5.7833796485253544</v>
      </c>
      <c r="M112" s="3">
        <v>4.4393904520102296</v>
      </c>
    </row>
    <row r="113" spans="1:13" ht="15" hidden="1" customHeight="1">
      <c r="C113" s="3">
        <v>0</v>
      </c>
      <c r="D113" s="3">
        <v>0</v>
      </c>
      <c r="E113" s="3">
        <v>0</v>
      </c>
      <c r="F113" s="3">
        <v>0</v>
      </c>
      <c r="G113" s="3">
        <v>0</v>
      </c>
      <c r="H113" s="3">
        <v>12.10861808037343</v>
      </c>
      <c r="I113" s="3">
        <v>17.4821221055069</v>
      </c>
      <c r="J113" s="3">
        <v>10.07471523382657</v>
      </c>
      <c r="K113" s="3">
        <v>8.0563480265603502</v>
      </c>
      <c r="L113" s="3">
        <v>6.617748396434223</v>
      </c>
      <c r="M113" s="3">
        <v>5.9799258464751261</v>
      </c>
    </row>
    <row r="114" spans="1:13" ht="15" hidden="1" customHeight="1">
      <c r="C114" s="3">
        <v>0</v>
      </c>
      <c r="D114" s="3">
        <v>0</v>
      </c>
      <c r="E114" s="3">
        <v>0</v>
      </c>
      <c r="F114" s="3">
        <v>0</v>
      </c>
      <c r="G114" s="3">
        <v>0</v>
      </c>
      <c r="H114" s="3">
        <v>0</v>
      </c>
      <c r="I114" s="3">
        <v>12.65214370644472</v>
      </c>
      <c r="J114" s="3">
        <v>18.31751139199233</v>
      </c>
      <c r="K114" s="3">
        <v>10.543613453073309</v>
      </c>
      <c r="L114" s="3">
        <v>8.4315410272753297</v>
      </c>
      <c r="M114" s="3">
        <v>6.9247686959833317</v>
      </c>
    </row>
    <row r="115" spans="1:13" ht="15" hidden="1" customHeight="1">
      <c r="C115" s="3">
        <v>0</v>
      </c>
      <c r="D115" s="3">
        <v>0</v>
      </c>
      <c r="E115" s="3">
        <v>0</v>
      </c>
      <c r="F115" s="3">
        <v>0</v>
      </c>
      <c r="G115" s="3">
        <v>0</v>
      </c>
      <c r="H115" s="3">
        <v>0</v>
      </c>
      <c r="I115" s="3">
        <v>0</v>
      </c>
      <c r="J115" s="3">
        <v>13.37845804952423</v>
      </c>
      <c r="K115" s="3">
        <v>19.216281128095059</v>
      </c>
      <c r="L115" s="3">
        <v>11.08354075238422</v>
      </c>
      <c r="M115" s="3">
        <v>8.8619165520169645</v>
      </c>
    </row>
    <row r="116" spans="1:13" ht="15" hidden="1" customHeight="1">
      <c r="C116" s="3">
        <v>0</v>
      </c>
      <c r="D116" s="3">
        <v>0</v>
      </c>
      <c r="E116" s="3">
        <v>0</v>
      </c>
      <c r="F116" s="3">
        <v>0</v>
      </c>
      <c r="G116" s="3">
        <v>0</v>
      </c>
      <c r="H116" s="3">
        <v>0</v>
      </c>
      <c r="I116" s="3">
        <v>0</v>
      </c>
      <c r="J116" s="3">
        <v>0</v>
      </c>
      <c r="K116" s="3">
        <v>13.830169623096539</v>
      </c>
      <c r="L116" s="3">
        <v>19.655189473137099</v>
      </c>
      <c r="M116" s="3">
        <v>11.34740897219201</v>
      </c>
    </row>
    <row r="117" spans="1:13" ht="15" hidden="1" customHeight="1">
      <c r="C117" s="3">
        <v>0</v>
      </c>
      <c r="D117" s="3">
        <v>0</v>
      </c>
      <c r="E117" s="3">
        <v>0</v>
      </c>
      <c r="F117" s="3">
        <v>0</v>
      </c>
      <c r="G117" s="3">
        <v>0</v>
      </c>
      <c r="H117" s="3">
        <v>0</v>
      </c>
      <c r="I117" s="3">
        <v>0</v>
      </c>
      <c r="J117" s="3">
        <v>0</v>
      </c>
      <c r="K117" s="3">
        <v>0</v>
      </c>
      <c r="L117" s="3">
        <v>14.308147870500321</v>
      </c>
      <c r="M117" s="3">
        <v>20.263672524669769</v>
      </c>
    </row>
    <row r="118" spans="1:13" ht="15" hidden="1" customHeight="1">
      <c r="C118" s="3">
        <v>0</v>
      </c>
      <c r="D118" s="3">
        <v>0</v>
      </c>
      <c r="E118" s="3">
        <v>0</v>
      </c>
      <c r="F118" s="3">
        <v>0</v>
      </c>
      <c r="G118" s="3">
        <v>0</v>
      </c>
      <c r="H118" s="3">
        <v>0</v>
      </c>
      <c r="I118" s="3">
        <v>0</v>
      </c>
      <c r="J118" s="3">
        <v>0</v>
      </c>
      <c r="K118" s="3">
        <v>0</v>
      </c>
      <c r="L118" s="3">
        <v>0</v>
      </c>
      <c r="M118" s="3">
        <v>15.00035342917278</v>
      </c>
    </row>
    <row r="119" spans="1:13" ht="15" hidden="1" customHeight="1"/>
    <row r="120" spans="1:13" ht="15" hidden="1" customHeight="1">
      <c r="A120" s="4" t="s">
        <v>27</v>
      </c>
      <c r="C120" s="3">
        <v>38.674376191598043</v>
      </c>
      <c r="D120" s="3">
        <v>39.527789812052355</v>
      </c>
      <c r="E120" s="3">
        <v>41.076872422999017</v>
      </c>
      <c r="F120" s="3">
        <v>42.599750757183926</v>
      </c>
      <c r="G120" s="3">
        <v>44.250336478190277</v>
      </c>
      <c r="H120" s="3">
        <v>45.889798469254984</v>
      </c>
      <c r="I120" s="3">
        <v>47.685656280706354</v>
      </c>
      <c r="J120" s="3">
        <v>49.520152352774183</v>
      </c>
      <c r="K120" s="3">
        <v>51.424714278914301</v>
      </c>
      <c r="L120" s="3">
        <v>53.397965621456841</v>
      </c>
      <c r="M120" s="3">
        <v>55.443378430086725</v>
      </c>
    </row>
    <row r="121" spans="1:13" ht="15" hidden="1" customHeight="1"/>
    <row r="122" spans="1:13" ht="15" hidden="1" customHeight="1">
      <c r="A122" s="4" t="s">
        <v>43</v>
      </c>
      <c r="C122" s="98">
        <f>C76-C75</f>
        <v>9.9999999999999645E-2</v>
      </c>
      <c r="D122" s="98">
        <f t="shared" ref="D122:M122" si="19">D76-D75</f>
        <v>0.10000000000000009</v>
      </c>
      <c r="E122" s="98">
        <f t="shared" si="19"/>
        <v>0.10000000000000009</v>
      </c>
      <c r="F122" s="98">
        <f t="shared" si="19"/>
        <v>0.10000000000000009</v>
      </c>
      <c r="G122" s="98">
        <f t="shared" si="19"/>
        <v>0.10000000000000009</v>
      </c>
      <c r="H122" s="98">
        <f t="shared" si="19"/>
        <v>0.10000000000000009</v>
      </c>
      <c r="I122" s="98">
        <f t="shared" si="19"/>
        <v>0.10000000000000009</v>
      </c>
      <c r="J122" s="98">
        <f t="shared" si="19"/>
        <v>0.10000000000000009</v>
      </c>
      <c r="K122" s="98">
        <f t="shared" si="19"/>
        <v>0.10000000000000009</v>
      </c>
      <c r="L122" s="98">
        <f t="shared" si="19"/>
        <v>9.9999999999999645E-2</v>
      </c>
      <c r="M122" s="98">
        <f t="shared" si="19"/>
        <v>0.10000000000000009</v>
      </c>
    </row>
    <row r="123" spans="1:13" ht="15" hidden="1" customHeight="1">
      <c r="C123" s="98"/>
      <c r="D123" s="98"/>
      <c r="E123" s="98"/>
      <c r="F123" s="98"/>
      <c r="G123" s="98"/>
      <c r="H123" s="98"/>
      <c r="I123" s="98"/>
      <c r="J123" s="98"/>
      <c r="K123" s="98"/>
      <c r="L123" s="98"/>
      <c r="M123" s="98"/>
    </row>
    <row r="124" spans="1:13" ht="15" hidden="1" customHeight="1">
      <c r="A124" s="4" t="s">
        <v>42</v>
      </c>
      <c r="B124" s="184"/>
      <c r="C124" s="184">
        <v>52.194000000000003</v>
      </c>
      <c r="D124" s="184">
        <v>72.44</v>
      </c>
      <c r="E124" s="184">
        <v>41.603999999999999</v>
      </c>
      <c r="F124" s="184">
        <v>33.165999999999997</v>
      </c>
      <c r="G124" s="184">
        <v>27.507000000000001</v>
      </c>
      <c r="H124" s="184">
        <v>24.802</v>
      </c>
      <c r="I124" s="184">
        <v>18.082999999999998</v>
      </c>
      <c r="J124" s="184">
        <v>16.268999999999998</v>
      </c>
      <c r="K124" s="184">
        <v>12.265000000000001</v>
      </c>
      <c r="L124" s="184">
        <v>12.07</v>
      </c>
      <c r="M124" s="184">
        <v>10.215</v>
      </c>
    </row>
    <row r="125" spans="1:13" ht="15" hidden="1" customHeight="1">
      <c r="C125" s="98">
        <v>0</v>
      </c>
      <c r="D125" s="98">
        <v>54.98</v>
      </c>
      <c r="E125" s="98">
        <v>76.132999999999996</v>
      </c>
      <c r="F125" s="98">
        <v>43.307000000000002</v>
      </c>
      <c r="G125" s="98">
        <v>34.496000000000002</v>
      </c>
      <c r="H125" s="98">
        <v>28.579000000000001</v>
      </c>
      <c r="I125" s="98">
        <v>25.954000000000001</v>
      </c>
      <c r="J125" s="98">
        <v>19.027000000000001</v>
      </c>
      <c r="K125" s="98">
        <v>16.891999999999999</v>
      </c>
      <c r="L125" s="98">
        <v>12.59</v>
      </c>
      <c r="M125" s="98">
        <v>12.39</v>
      </c>
    </row>
    <row r="126" spans="1:13" ht="15" hidden="1" customHeight="1">
      <c r="C126" s="98">
        <v>0</v>
      </c>
      <c r="D126" s="98">
        <v>0</v>
      </c>
      <c r="E126" s="98">
        <v>56.722999999999999</v>
      </c>
      <c r="F126" s="98">
        <v>80.096000000000004</v>
      </c>
      <c r="G126" s="98">
        <v>45.121000000000002</v>
      </c>
      <c r="H126" s="98">
        <v>35.911999999999999</v>
      </c>
      <c r="I126" s="98">
        <v>29.72</v>
      </c>
      <c r="J126" s="98">
        <v>27.184000000000001</v>
      </c>
      <c r="K126" s="98">
        <v>20.036999999999999</v>
      </c>
      <c r="L126" s="98">
        <v>17.55</v>
      </c>
      <c r="M126" s="98">
        <v>12.930999999999999</v>
      </c>
    </row>
    <row r="127" spans="1:13" ht="15" hidden="1" customHeight="1">
      <c r="C127" s="98">
        <v>0</v>
      </c>
      <c r="D127" s="98">
        <v>0</v>
      </c>
      <c r="E127" s="98">
        <v>0</v>
      </c>
      <c r="F127" s="98">
        <v>60.441000000000003</v>
      </c>
      <c r="G127" s="98">
        <v>85.403000000000006</v>
      </c>
      <c r="H127" s="98">
        <v>48.331000000000003</v>
      </c>
      <c r="I127" s="98">
        <v>38.578000000000003</v>
      </c>
      <c r="J127" s="98">
        <v>31.995000000000001</v>
      </c>
      <c r="K127" s="98">
        <v>28.98</v>
      </c>
      <c r="L127" s="98">
        <v>21.3</v>
      </c>
      <c r="M127" s="98">
        <v>18.655999999999999</v>
      </c>
    </row>
    <row r="128" spans="1:13" ht="15" hidden="1" customHeight="1">
      <c r="C128" s="98">
        <v>0</v>
      </c>
      <c r="D128" s="98">
        <v>0</v>
      </c>
      <c r="E128" s="98">
        <v>0</v>
      </c>
      <c r="F128" s="98">
        <v>0</v>
      </c>
      <c r="G128" s="98">
        <v>63.893000000000001</v>
      </c>
      <c r="H128" s="98">
        <v>89.099000000000004</v>
      </c>
      <c r="I128" s="98">
        <v>50.652999999999999</v>
      </c>
      <c r="J128" s="98">
        <v>40.546999999999997</v>
      </c>
      <c r="K128" s="98">
        <v>33.700000000000003</v>
      </c>
      <c r="L128" s="98">
        <v>30.224</v>
      </c>
      <c r="M128" s="98">
        <v>22.152000000000001</v>
      </c>
    </row>
    <row r="129" spans="1:13" ht="15" hidden="1" customHeight="1">
      <c r="C129" s="98">
        <v>0</v>
      </c>
      <c r="D129" s="98">
        <v>0</v>
      </c>
      <c r="E129" s="98">
        <v>0</v>
      </c>
      <c r="F129" s="98">
        <v>0</v>
      </c>
      <c r="G129" s="98">
        <v>0</v>
      </c>
      <c r="H129" s="98">
        <v>68.037000000000006</v>
      </c>
      <c r="I129" s="98">
        <v>94.483999999999995</v>
      </c>
      <c r="J129" s="98">
        <v>53.69</v>
      </c>
      <c r="K129" s="98">
        <v>43.116</v>
      </c>
      <c r="L129" s="98">
        <v>35.887999999999998</v>
      </c>
      <c r="M129" s="98">
        <v>32.186</v>
      </c>
    </row>
    <row r="130" spans="1:13" ht="15" hidden="1" customHeight="1">
      <c r="C130" s="98">
        <v>0</v>
      </c>
      <c r="D130" s="98">
        <v>0</v>
      </c>
      <c r="E130" s="98">
        <v>0</v>
      </c>
      <c r="F130" s="98">
        <v>0</v>
      </c>
      <c r="G130" s="98">
        <v>0</v>
      </c>
      <c r="H130" s="98">
        <v>0</v>
      </c>
      <c r="I130" s="98">
        <v>70.947999999999993</v>
      </c>
      <c r="J130" s="98">
        <v>99.77</v>
      </c>
      <c r="K130" s="98">
        <v>56.667999999999999</v>
      </c>
      <c r="L130" s="98">
        <v>45.654000000000003</v>
      </c>
      <c r="M130" s="98">
        <v>38.055999999999997</v>
      </c>
    </row>
    <row r="131" spans="1:13" ht="15" hidden="1" customHeight="1">
      <c r="C131" s="98">
        <v>0</v>
      </c>
      <c r="D131" s="98">
        <v>0</v>
      </c>
      <c r="E131" s="98">
        <v>0</v>
      </c>
      <c r="F131" s="98">
        <v>0</v>
      </c>
      <c r="G131" s="98">
        <v>0</v>
      </c>
      <c r="H131" s="98">
        <v>0</v>
      </c>
      <c r="I131" s="98">
        <v>0</v>
      </c>
      <c r="J131" s="98">
        <v>74.688000000000002</v>
      </c>
      <c r="K131" s="98">
        <v>103.9</v>
      </c>
      <c r="L131" s="98">
        <v>58.811</v>
      </c>
      <c r="M131" s="98">
        <v>47.381</v>
      </c>
    </row>
    <row r="132" spans="1:13" ht="15" hidden="1" customHeight="1">
      <c r="C132" s="98">
        <v>0</v>
      </c>
      <c r="D132" s="98">
        <v>0</v>
      </c>
      <c r="E132" s="98">
        <v>0</v>
      </c>
      <c r="F132" s="98">
        <v>0</v>
      </c>
      <c r="G132" s="98">
        <v>0</v>
      </c>
      <c r="H132" s="98">
        <v>0</v>
      </c>
      <c r="I132" s="98">
        <v>0</v>
      </c>
      <c r="J132" s="98">
        <v>0</v>
      </c>
      <c r="K132" s="98">
        <v>78.212000000000003</v>
      </c>
      <c r="L132" s="98">
        <v>110.358</v>
      </c>
      <c r="M132" s="98">
        <v>62.250999999999998</v>
      </c>
    </row>
    <row r="133" spans="1:13" ht="15" hidden="1" customHeight="1">
      <c r="C133" s="98">
        <v>0</v>
      </c>
      <c r="D133" s="98">
        <v>0</v>
      </c>
      <c r="E133" s="98">
        <v>0</v>
      </c>
      <c r="F133" s="98">
        <v>0</v>
      </c>
      <c r="G133" s="98">
        <v>0</v>
      </c>
      <c r="H133" s="98">
        <v>0</v>
      </c>
      <c r="I133" s="98">
        <v>0</v>
      </c>
      <c r="J133" s="98">
        <v>0</v>
      </c>
      <c r="K133" s="98">
        <v>0</v>
      </c>
      <c r="L133" s="98">
        <v>81.424000000000007</v>
      </c>
      <c r="M133" s="98">
        <v>113.93300000000001</v>
      </c>
    </row>
    <row r="134" spans="1:13" ht="15" hidden="1" customHeight="1">
      <c r="C134" s="98">
        <v>0</v>
      </c>
      <c r="D134" s="98">
        <v>0</v>
      </c>
      <c r="E134" s="98">
        <v>0</v>
      </c>
      <c r="F134" s="98">
        <v>0</v>
      </c>
      <c r="G134" s="98">
        <v>0</v>
      </c>
      <c r="H134" s="98">
        <v>0</v>
      </c>
      <c r="I134" s="98">
        <v>0</v>
      </c>
      <c r="J134" s="98">
        <v>0</v>
      </c>
      <c r="K134" s="98">
        <v>0</v>
      </c>
      <c r="L134" s="98">
        <v>0</v>
      </c>
      <c r="M134" s="98">
        <v>85.108000000000004</v>
      </c>
    </row>
    <row r="135" spans="1:13" ht="15" hidden="1" customHeight="1">
      <c r="C135" s="98"/>
      <c r="D135" s="98"/>
      <c r="E135" s="98"/>
      <c r="F135" s="98"/>
      <c r="G135" s="98"/>
      <c r="H135" s="98"/>
      <c r="I135" s="98"/>
      <c r="J135" s="98"/>
      <c r="K135" s="98"/>
      <c r="L135" s="98"/>
      <c r="M135" s="98"/>
    </row>
    <row r="136" spans="1:13" ht="15" hidden="1" customHeight="1">
      <c r="A136" s="4" t="s">
        <v>44</v>
      </c>
      <c r="C136" s="98">
        <v>0</v>
      </c>
      <c r="D136" s="98">
        <v>0</v>
      </c>
      <c r="E136" s="98">
        <v>0</v>
      </c>
      <c r="F136" s="98">
        <v>0</v>
      </c>
      <c r="G136" s="98">
        <v>0</v>
      </c>
      <c r="H136" s="98">
        <v>0</v>
      </c>
      <c r="I136" s="98">
        <v>0</v>
      </c>
      <c r="J136" s="98">
        <v>0</v>
      </c>
      <c r="K136" s="98">
        <v>0</v>
      </c>
      <c r="L136" s="98">
        <v>0</v>
      </c>
      <c r="M136" s="98">
        <v>0</v>
      </c>
    </row>
    <row r="137" spans="1:13" ht="15" hidden="1" customHeight="1">
      <c r="C137" s="98"/>
      <c r="D137" s="98"/>
      <c r="E137" s="98"/>
      <c r="F137" s="98"/>
      <c r="G137" s="98"/>
      <c r="H137" s="98"/>
      <c r="I137" s="98"/>
      <c r="J137" s="98"/>
      <c r="K137" s="98"/>
      <c r="L137" s="98"/>
      <c r="M137" s="98"/>
    </row>
    <row r="138" spans="1:13" ht="15" hidden="1" customHeight="1">
      <c r="A138" s="4" t="s">
        <v>31</v>
      </c>
      <c r="C138" s="180">
        <f>C27+C28+C30-C24</f>
        <v>7.782</v>
      </c>
      <c r="D138" s="180">
        <f t="shared" ref="D138:M138" si="20">D27+D28+D30-D24</f>
        <v>15.307</v>
      </c>
      <c r="E138" s="180">
        <f t="shared" si="20"/>
        <v>19.124000000000002</v>
      </c>
      <c r="F138" s="180">
        <f t="shared" si="20"/>
        <v>22.581</v>
      </c>
      <c r="G138" s="180">
        <f t="shared" si="20"/>
        <v>25.814999999999998</v>
      </c>
      <c r="H138" s="180">
        <f t="shared" si="20"/>
        <v>28.975999999999999</v>
      </c>
      <c r="I138" s="180">
        <f t="shared" si="20"/>
        <v>31.831</v>
      </c>
      <c r="J138" s="180">
        <f t="shared" si="20"/>
        <v>34.804000000000002</v>
      </c>
      <c r="K138" s="180">
        <f t="shared" si="20"/>
        <v>37.444000000000003</v>
      </c>
      <c r="L138" s="180">
        <f t="shared" si="20"/>
        <v>40.298000000000002</v>
      </c>
      <c r="M138" s="180">
        <f t="shared" si="20"/>
        <v>42.891000000000005</v>
      </c>
    </row>
    <row r="139" spans="1:13" ht="15" hidden="1" customHeight="1">
      <c r="J139" s="187"/>
    </row>
    <row r="140" spans="1:13" ht="15" hidden="1" customHeight="1">
      <c r="A140" s="4" t="s">
        <v>29</v>
      </c>
      <c r="C140" s="3">
        <v>1.0500000000000001E-2</v>
      </c>
      <c r="D140" s="3">
        <v>3.7900000000000003E-2</v>
      </c>
      <c r="E140" s="3">
        <v>3.73E-2</v>
      </c>
      <c r="F140" s="3">
        <v>3.8300000000000001E-2</v>
      </c>
      <c r="G140" s="3">
        <v>3.9300000000000002E-2</v>
      </c>
      <c r="H140" s="3">
        <v>4.0300000000000002E-2</v>
      </c>
      <c r="I140" s="3">
        <v>4.1099999999999998E-2</v>
      </c>
      <c r="J140" s="3">
        <v>4.2200000000000001E-2</v>
      </c>
      <c r="K140" s="3">
        <v>4.3200000000000002E-2</v>
      </c>
      <c r="L140" s="3">
        <v>4.4499999999999998E-2</v>
      </c>
      <c r="M140" s="3">
        <v>4.5600000000000002E-2</v>
      </c>
    </row>
    <row r="141" spans="1:13" ht="15" hidden="1" customHeight="1">
      <c r="C141" s="3">
        <v>0</v>
      </c>
      <c r="D141" s="3">
        <v>1.8499999999999999E-2</v>
      </c>
      <c r="E141" s="3">
        <v>3.6499999999999998E-2</v>
      </c>
      <c r="F141" s="3">
        <v>3.78E-2</v>
      </c>
      <c r="G141" s="3">
        <v>3.8699999999999998E-2</v>
      </c>
      <c r="H141" s="3">
        <v>3.9800000000000002E-2</v>
      </c>
      <c r="I141" s="3">
        <v>4.1000000000000002E-2</v>
      </c>
      <c r="J141" s="3">
        <v>4.2000000000000003E-2</v>
      </c>
      <c r="K141" s="3">
        <v>4.3200000000000002E-2</v>
      </c>
      <c r="L141" s="3">
        <v>4.4499999999999998E-2</v>
      </c>
      <c r="M141" s="3">
        <v>4.5900000000000003E-2</v>
      </c>
    </row>
    <row r="142" spans="1:13" ht="15" hidden="1" customHeight="1">
      <c r="C142" s="3">
        <v>0</v>
      </c>
      <c r="D142" s="3">
        <v>0</v>
      </c>
      <c r="E142" s="3">
        <v>1.84E-2</v>
      </c>
      <c r="F142" s="3">
        <v>3.5999999999999997E-2</v>
      </c>
      <c r="G142" s="3">
        <v>3.6999999999999998E-2</v>
      </c>
      <c r="H142" s="3">
        <v>3.8199999999999998E-2</v>
      </c>
      <c r="I142" s="3">
        <v>3.9199999999999999E-2</v>
      </c>
      <c r="J142" s="3">
        <v>4.02E-2</v>
      </c>
      <c r="K142" s="3">
        <v>4.1599999999999998E-2</v>
      </c>
      <c r="L142" s="3">
        <v>4.2799999999999998E-2</v>
      </c>
      <c r="M142" s="3">
        <v>4.3999999999999997E-2</v>
      </c>
    </row>
    <row r="143" spans="1:13" ht="15" hidden="1" customHeight="1">
      <c r="C143" s="3">
        <v>0</v>
      </c>
      <c r="D143" s="3">
        <v>0</v>
      </c>
      <c r="E143" s="3">
        <v>0</v>
      </c>
      <c r="F143" s="3">
        <v>1.8200000000000001E-2</v>
      </c>
      <c r="G143" s="3">
        <v>3.5700000000000003E-2</v>
      </c>
      <c r="H143" s="3">
        <v>3.6700000000000003E-2</v>
      </c>
      <c r="I143" s="3">
        <v>3.78E-2</v>
      </c>
      <c r="J143" s="3">
        <v>3.8899999999999997E-2</v>
      </c>
      <c r="K143" s="3">
        <v>0.04</v>
      </c>
      <c r="L143" s="3">
        <v>4.1300000000000003E-2</v>
      </c>
      <c r="M143" s="3">
        <v>4.2500000000000003E-2</v>
      </c>
    </row>
    <row r="144" spans="1:13" ht="15" hidden="1" customHeight="1">
      <c r="C144" s="3">
        <v>0</v>
      </c>
      <c r="D144" s="3">
        <v>0</v>
      </c>
      <c r="E144" s="3">
        <v>0</v>
      </c>
      <c r="F144" s="3">
        <v>0</v>
      </c>
      <c r="G144" s="3">
        <v>1.8100000000000002E-2</v>
      </c>
      <c r="H144" s="3">
        <v>3.5400000000000001E-2</v>
      </c>
      <c r="I144" s="3">
        <v>3.6400000000000002E-2</v>
      </c>
      <c r="J144" s="3">
        <v>3.7499999999999999E-2</v>
      </c>
      <c r="K144" s="3">
        <v>3.8600000000000002E-2</v>
      </c>
      <c r="L144" s="3">
        <v>3.9800000000000002E-2</v>
      </c>
      <c r="M144" s="3">
        <v>4.0899999999999999E-2</v>
      </c>
    </row>
    <row r="145" spans="1:13" ht="15" hidden="1" customHeight="1">
      <c r="C145" s="3">
        <v>0</v>
      </c>
      <c r="D145" s="3">
        <v>0</v>
      </c>
      <c r="E145" s="3">
        <v>0</v>
      </c>
      <c r="F145" s="3">
        <v>0</v>
      </c>
      <c r="G145" s="3">
        <v>0</v>
      </c>
      <c r="H145" s="3">
        <v>1.8100000000000002E-2</v>
      </c>
      <c r="I145" s="3">
        <v>3.5000000000000003E-2</v>
      </c>
      <c r="J145" s="3">
        <v>3.5999999999999997E-2</v>
      </c>
      <c r="K145" s="3">
        <v>3.7199999999999997E-2</v>
      </c>
      <c r="L145" s="3">
        <v>3.8399999999999997E-2</v>
      </c>
      <c r="M145" s="3">
        <v>3.95E-2</v>
      </c>
    </row>
    <row r="146" spans="1:13" ht="15" hidden="1" customHeight="1">
      <c r="C146" s="3">
        <v>0</v>
      </c>
      <c r="D146" s="3">
        <v>0</v>
      </c>
      <c r="E146" s="3">
        <v>0</v>
      </c>
      <c r="F146" s="3">
        <v>0</v>
      </c>
      <c r="G146" s="3">
        <v>0</v>
      </c>
      <c r="H146" s="3">
        <v>0</v>
      </c>
      <c r="I146" s="3">
        <v>1.7999999999999999E-2</v>
      </c>
      <c r="J146" s="3">
        <v>3.4799999999999998E-2</v>
      </c>
      <c r="K146" s="3">
        <v>3.5999999999999997E-2</v>
      </c>
      <c r="L146" s="3">
        <v>3.6999999999999998E-2</v>
      </c>
      <c r="M146" s="3">
        <v>3.8100000000000002E-2</v>
      </c>
    </row>
    <row r="147" spans="1:13" ht="15" hidden="1" customHeight="1">
      <c r="C147" s="3">
        <v>0</v>
      </c>
      <c r="D147" s="3">
        <v>0</v>
      </c>
      <c r="E147" s="3">
        <v>0</v>
      </c>
      <c r="F147" s="3">
        <v>0</v>
      </c>
      <c r="G147" s="3">
        <v>0</v>
      </c>
      <c r="H147" s="3">
        <v>0</v>
      </c>
      <c r="I147" s="3">
        <v>0</v>
      </c>
      <c r="J147" s="3">
        <v>1.7999999999999999E-2</v>
      </c>
      <c r="K147" s="3">
        <v>3.4500000000000003E-2</v>
      </c>
      <c r="L147" s="3">
        <v>3.5799999999999998E-2</v>
      </c>
      <c r="M147" s="3">
        <v>3.6900000000000002E-2</v>
      </c>
    </row>
    <row r="148" spans="1:13" ht="15" hidden="1" customHeight="1">
      <c r="C148" s="3">
        <v>0</v>
      </c>
      <c r="D148" s="3">
        <v>0</v>
      </c>
      <c r="E148" s="3">
        <v>0</v>
      </c>
      <c r="F148" s="3">
        <v>0</v>
      </c>
      <c r="G148" s="3">
        <v>0</v>
      </c>
      <c r="H148" s="3">
        <v>0</v>
      </c>
      <c r="I148" s="3">
        <v>0</v>
      </c>
      <c r="J148" s="3">
        <v>0</v>
      </c>
      <c r="K148" s="3">
        <v>1.7899999999999999E-2</v>
      </c>
      <c r="L148" s="3">
        <v>3.4500000000000003E-2</v>
      </c>
      <c r="M148" s="3">
        <v>3.56E-2</v>
      </c>
    </row>
    <row r="149" spans="1:13" ht="15" hidden="1" customHeight="1">
      <c r="C149" s="3">
        <v>0</v>
      </c>
      <c r="D149" s="3">
        <v>0</v>
      </c>
      <c r="E149" s="3">
        <v>0</v>
      </c>
      <c r="F149" s="3">
        <v>0</v>
      </c>
      <c r="G149" s="3">
        <v>0</v>
      </c>
      <c r="H149" s="3">
        <v>0</v>
      </c>
      <c r="I149" s="3">
        <v>0</v>
      </c>
      <c r="J149" s="3">
        <v>0</v>
      </c>
      <c r="K149" s="3">
        <v>0</v>
      </c>
      <c r="L149" s="3">
        <v>1.7899999999999999E-2</v>
      </c>
      <c r="M149" s="3">
        <v>3.4299999999999997E-2</v>
      </c>
    </row>
    <row r="150" spans="1:13" ht="15" hidden="1" customHeight="1">
      <c r="C150" s="3">
        <v>0</v>
      </c>
      <c r="D150" s="3">
        <v>0</v>
      </c>
      <c r="E150" s="3">
        <v>0</v>
      </c>
      <c r="F150" s="3">
        <v>0</v>
      </c>
      <c r="G150" s="3">
        <v>0</v>
      </c>
      <c r="H150" s="3">
        <v>0</v>
      </c>
      <c r="I150" s="3">
        <v>0</v>
      </c>
      <c r="J150" s="3">
        <v>0</v>
      </c>
      <c r="K150" s="3">
        <v>0</v>
      </c>
      <c r="L150" s="3">
        <v>0</v>
      </c>
      <c r="M150" s="3">
        <v>1.78E-2</v>
      </c>
    </row>
    <row r="151" spans="1:13" ht="15" hidden="1" customHeight="1"/>
    <row r="152" spans="1:13" ht="15" hidden="1" customHeight="1">
      <c r="A152" s="4" t="s">
        <v>55</v>
      </c>
      <c r="C152" s="102">
        <v>1.0000000000000009E-3</v>
      </c>
      <c r="D152" s="102">
        <v>1.5000000000000013E-2</v>
      </c>
      <c r="E152" s="102">
        <v>3.8000000000000034E-2</v>
      </c>
      <c r="F152" s="102">
        <v>5.9000000000000163E-2</v>
      </c>
      <c r="G152" s="102">
        <v>8.7000000000000188E-2</v>
      </c>
      <c r="H152" s="102">
        <v>0.12300000000000022</v>
      </c>
      <c r="I152" s="102">
        <v>0.16300000000000026</v>
      </c>
      <c r="J152" s="102">
        <v>0.21499999999999986</v>
      </c>
      <c r="K152" s="102">
        <v>0.26200000000000045</v>
      </c>
      <c r="L152" s="102">
        <v>0.30400000000000027</v>
      </c>
      <c r="M152" s="102">
        <v>0.39300000000000068</v>
      </c>
    </row>
  </sheetData>
  <sheetProtection sheet="1" objects="1" scenarios="1"/>
  <mergeCells count="17">
    <mergeCell ref="A100:M100"/>
    <mergeCell ref="A102:M102"/>
    <mergeCell ref="A104:M104"/>
    <mergeCell ref="C21:M21"/>
    <mergeCell ref="N21:O21"/>
    <mergeCell ref="B56:M56"/>
    <mergeCell ref="A88:M88"/>
    <mergeCell ref="A96:M96"/>
    <mergeCell ref="A98:M98"/>
    <mergeCell ref="A94:M94"/>
    <mergeCell ref="A90:M90"/>
    <mergeCell ref="A92:M92"/>
    <mergeCell ref="O12:R14"/>
    <mergeCell ref="C20:L20"/>
    <mergeCell ref="C11:M11"/>
    <mergeCell ref="A7:M7"/>
    <mergeCell ref="A5:M5"/>
  </mergeCells>
  <dataValidations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3" xr:uid="{00000000-0002-0000-0300-000000000000}">
      <formula1>-1</formula1>
      <formula2>1</formula2>
    </dataValidation>
  </dataValidations>
  <hyperlinks>
    <hyperlink ref="A2" r:id="rId1" display="https://www.cbo.gov/publication/61198" xr:uid="{175640C5-7F4C-45BD-BAF5-D57FF574316B}"/>
  </hyperlinks>
  <pageMargins left="0.75" right="0.75" top="1" bottom="1" header="0.5" footer="0.5"/>
  <pageSetup scale="75"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73"/>
  <sheetViews>
    <sheetView zoomScaleNormal="100" workbookViewId="0"/>
  </sheetViews>
  <sheetFormatPr baseColWidth="10" defaultColWidth="12.5" defaultRowHeight="15" customHeight="1"/>
  <cols>
    <col min="1" max="1" width="54.5" style="4" customWidth="1"/>
    <col min="2" max="14" width="7.5" style="3" customWidth="1"/>
    <col min="15" max="15" width="7.83203125" style="3" customWidth="1"/>
    <col min="16" max="16384" width="12.5" style="4"/>
  </cols>
  <sheetData>
    <row r="1" spans="1:18" ht="15" customHeight="1">
      <c r="A1" s="2" t="s">
        <v>101</v>
      </c>
    </row>
    <row r="2" spans="1:18" ht="15" customHeight="1">
      <c r="A2" s="210" t="s">
        <v>119</v>
      </c>
    </row>
    <row r="3" spans="1:18" ht="15" customHeight="1">
      <c r="A3" s="165"/>
    </row>
    <row r="4" spans="1:18" ht="15" customHeight="1">
      <c r="A4" s="28"/>
      <c r="B4" s="109"/>
      <c r="C4" s="109"/>
      <c r="D4" s="109"/>
      <c r="E4" s="109"/>
      <c r="F4" s="109"/>
      <c r="G4" s="109"/>
      <c r="H4" s="109"/>
      <c r="I4" s="109"/>
      <c r="J4" s="109"/>
      <c r="K4" s="109"/>
      <c r="L4" s="109"/>
      <c r="M4" s="109"/>
      <c r="N4" s="109"/>
      <c r="O4" s="109"/>
    </row>
    <row r="5" spans="1:18" s="6" customFormat="1" ht="60" customHeight="1">
      <c r="A5" s="213" t="s">
        <v>115</v>
      </c>
      <c r="B5" s="213"/>
      <c r="C5" s="213"/>
      <c r="D5" s="213"/>
      <c r="E5" s="213"/>
      <c r="F5" s="213"/>
      <c r="G5" s="213"/>
      <c r="H5" s="213"/>
      <c r="I5" s="213"/>
      <c r="J5" s="213"/>
      <c r="K5" s="213"/>
      <c r="L5" s="213"/>
      <c r="M5" s="213"/>
      <c r="N5" s="5"/>
      <c r="O5" s="5"/>
    </row>
    <row r="6" spans="1:18" s="13" customFormat="1" ht="15" customHeight="1">
      <c r="A6" s="9"/>
      <c r="B6" s="47"/>
      <c r="C6" s="47"/>
      <c r="D6" s="47"/>
      <c r="E6" s="47"/>
      <c r="F6" s="47"/>
      <c r="G6" s="47"/>
      <c r="H6" s="47"/>
      <c r="I6" s="47"/>
      <c r="J6" s="47"/>
      <c r="K6" s="47"/>
      <c r="L6" s="47"/>
      <c r="M6" s="47"/>
      <c r="N6" s="10"/>
      <c r="O6" s="10"/>
    </row>
    <row r="7" spans="1:18" ht="15" customHeight="1">
      <c r="A7" s="221" t="s">
        <v>47</v>
      </c>
      <c r="B7" s="221"/>
      <c r="C7" s="221"/>
      <c r="D7" s="221"/>
      <c r="E7" s="221"/>
      <c r="F7" s="221"/>
      <c r="G7" s="221"/>
      <c r="H7" s="221"/>
      <c r="I7" s="221"/>
      <c r="J7" s="221"/>
      <c r="K7" s="221"/>
      <c r="L7" s="221"/>
      <c r="M7" s="221"/>
      <c r="N7" s="119"/>
      <c r="O7" s="119"/>
    </row>
    <row r="8" spans="1:18" s="13" customFormat="1" ht="15" customHeight="1">
      <c r="A8" s="9"/>
      <c r="B8" s="47"/>
      <c r="C8" s="47"/>
      <c r="D8" s="47"/>
      <c r="E8" s="47"/>
      <c r="F8" s="47"/>
      <c r="G8" s="47"/>
      <c r="H8" s="47"/>
      <c r="I8" s="47"/>
      <c r="J8" s="47"/>
      <c r="K8" s="47"/>
      <c r="L8" s="47"/>
      <c r="M8" s="47"/>
      <c r="N8" s="11"/>
      <c r="O8" s="11"/>
    </row>
    <row r="9" spans="1:18" s="13" customFormat="1" ht="15" customHeight="1">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c r="A10" s="16"/>
      <c r="B10" s="17"/>
      <c r="C10" s="17"/>
      <c r="D10" s="17"/>
      <c r="E10" s="17"/>
      <c r="F10" s="17"/>
      <c r="G10" s="17"/>
      <c r="H10" s="17"/>
      <c r="I10" s="17"/>
      <c r="J10" s="17"/>
      <c r="K10" s="17"/>
      <c r="L10" s="17"/>
      <c r="M10" s="18"/>
      <c r="N10" s="19"/>
      <c r="O10" s="19"/>
      <c r="P10" s="12"/>
    </row>
    <row r="11" spans="1:18" ht="15" customHeight="1">
      <c r="A11" s="21"/>
      <c r="B11" s="28"/>
      <c r="C11" s="214" t="s">
        <v>86</v>
      </c>
      <c r="D11" s="214"/>
      <c r="E11" s="214"/>
      <c r="F11" s="214"/>
      <c r="G11" s="214"/>
      <c r="H11" s="214"/>
      <c r="I11" s="214"/>
      <c r="J11" s="214"/>
      <c r="K11" s="214"/>
      <c r="L11" s="214"/>
      <c r="M11" s="214"/>
      <c r="N11" s="22"/>
      <c r="O11" s="22"/>
      <c r="P11" s="28"/>
    </row>
    <row r="12" spans="1:18" ht="15" customHeight="1" thickBot="1">
      <c r="A12" s="21"/>
      <c r="B12" s="23"/>
      <c r="C12" s="24"/>
      <c r="D12" s="24"/>
      <c r="E12" s="24"/>
      <c r="F12" s="24"/>
      <c r="G12" s="24"/>
      <c r="H12" s="24"/>
      <c r="I12" s="24"/>
      <c r="J12" s="24"/>
      <c r="K12" s="24"/>
      <c r="L12" s="24"/>
      <c r="M12" s="24"/>
      <c r="N12" s="23"/>
      <c r="O12" s="219" t="s">
        <v>110</v>
      </c>
      <c r="P12" s="219"/>
      <c r="Q12" s="219"/>
      <c r="R12" s="219"/>
    </row>
    <row r="13" spans="1:18" s="28" customFormat="1" ht="48" customHeight="1">
      <c r="A13" s="25" t="s">
        <v>116</v>
      </c>
      <c r="B13" s="26" t="s">
        <v>3</v>
      </c>
      <c r="C13" s="1">
        <v>0.1</v>
      </c>
      <c r="D13" s="1">
        <v>0.1</v>
      </c>
      <c r="E13" s="1">
        <v>0.1</v>
      </c>
      <c r="F13" s="1">
        <v>0.1</v>
      </c>
      <c r="G13" s="1">
        <v>0.1</v>
      </c>
      <c r="H13" s="1">
        <v>0.1</v>
      </c>
      <c r="I13" s="1">
        <v>0.1</v>
      </c>
      <c r="J13" s="1">
        <v>0.1</v>
      </c>
      <c r="K13" s="1">
        <v>0.1</v>
      </c>
      <c r="L13" s="1">
        <v>0.1</v>
      </c>
      <c r="M13" s="1">
        <v>0.1</v>
      </c>
      <c r="N13" s="27"/>
      <c r="O13" s="219"/>
      <c r="P13" s="219"/>
      <c r="Q13" s="219"/>
      <c r="R13" s="219"/>
    </row>
    <row r="14" spans="1:18" s="28" customFormat="1" ht="48" customHeight="1" thickBot="1">
      <c r="A14" s="25" t="s">
        <v>109</v>
      </c>
      <c r="B14" s="26" t="s">
        <v>3</v>
      </c>
      <c r="C14" s="1">
        <v>0.1</v>
      </c>
      <c r="D14" s="1">
        <v>0.1</v>
      </c>
      <c r="E14" s="1">
        <v>0.1</v>
      </c>
      <c r="F14" s="1">
        <v>0.1</v>
      </c>
      <c r="G14" s="1">
        <v>0.1</v>
      </c>
      <c r="H14" s="1">
        <v>0.1</v>
      </c>
      <c r="I14" s="1">
        <v>0.1</v>
      </c>
      <c r="J14" s="1">
        <v>0.1</v>
      </c>
      <c r="K14" s="1">
        <v>0.1</v>
      </c>
      <c r="L14" s="1">
        <v>0.1</v>
      </c>
      <c r="M14" s="1">
        <v>0.1</v>
      </c>
      <c r="N14" s="27"/>
      <c r="O14" s="219"/>
      <c r="P14" s="219"/>
      <c r="Q14" s="219"/>
      <c r="R14" s="219"/>
    </row>
    <row r="15" spans="1:18" ht="15" customHeight="1">
      <c r="A15" s="29" t="str">
        <f>IF($A$22,"Please keep values in the range [-1.0, 1.0] percentage point per year.","")</f>
        <v/>
      </c>
      <c r="B15" s="30"/>
      <c r="C15" s="31"/>
      <c r="D15" s="31"/>
      <c r="E15" s="31"/>
      <c r="F15" s="31"/>
      <c r="G15" s="31"/>
      <c r="H15" s="31"/>
      <c r="I15" s="31"/>
      <c r="J15" s="31"/>
      <c r="K15" s="31"/>
      <c r="L15" s="31"/>
      <c r="M15" s="31"/>
      <c r="N15" s="32"/>
      <c r="O15" s="219"/>
      <c r="P15" s="219"/>
      <c r="Q15" s="219"/>
      <c r="R15" s="219"/>
    </row>
    <row r="16" spans="1:18" ht="15" customHeight="1">
      <c r="A16" s="33" t="s">
        <v>84</v>
      </c>
      <c r="B16" s="30"/>
      <c r="C16" s="30"/>
      <c r="D16" s="30"/>
      <c r="E16" s="30"/>
      <c r="F16" s="30"/>
      <c r="G16" s="30"/>
      <c r="H16" s="30"/>
      <c r="I16" s="30"/>
      <c r="J16" s="30"/>
      <c r="K16" s="30"/>
      <c r="L16" s="30"/>
      <c r="M16" s="30"/>
      <c r="N16" s="32"/>
      <c r="O16" s="32"/>
      <c r="P16" s="28"/>
    </row>
    <row r="17" spans="1:26">
      <c r="A17" s="37" t="s">
        <v>92</v>
      </c>
      <c r="B17" s="38">
        <v>2.4129999999999998</v>
      </c>
      <c r="C17" s="38">
        <v>2.198</v>
      </c>
      <c r="D17" s="38">
        <v>2.0750000000000002</v>
      </c>
      <c r="E17" s="38">
        <v>1.9950000000000001</v>
      </c>
      <c r="F17" s="38">
        <v>1.988</v>
      </c>
      <c r="G17" s="38">
        <v>1.992</v>
      </c>
      <c r="H17" s="38">
        <v>1.9870000000000001</v>
      </c>
      <c r="I17" s="38">
        <v>1.986</v>
      </c>
      <c r="J17" s="38">
        <v>1.9870000000000001</v>
      </c>
      <c r="K17" s="38">
        <v>1.9910000000000001</v>
      </c>
      <c r="L17" s="38">
        <v>1.9890000000000001</v>
      </c>
      <c r="M17" s="38">
        <v>1.99</v>
      </c>
      <c r="N17" s="32"/>
      <c r="O17" s="32"/>
      <c r="P17" s="12"/>
    </row>
    <row r="18" spans="1:26">
      <c r="A18" s="39" t="s">
        <v>21</v>
      </c>
      <c r="B18" s="40">
        <f>IF($A$23,"n.a.",B17)</f>
        <v>2.4129999999999998</v>
      </c>
      <c r="C18" s="40">
        <f t="shared" ref="C18:L18" si="0">IF($A$23,"n.a.",C17+C13)</f>
        <v>2.298</v>
      </c>
      <c r="D18" s="40">
        <f t="shared" si="0"/>
        <v>2.1750000000000003</v>
      </c>
      <c r="E18" s="40">
        <f t="shared" si="0"/>
        <v>2.0950000000000002</v>
      </c>
      <c r="F18" s="40">
        <f t="shared" si="0"/>
        <v>2.0880000000000001</v>
      </c>
      <c r="G18" s="40">
        <f t="shared" si="0"/>
        <v>2.0920000000000001</v>
      </c>
      <c r="H18" s="40">
        <f t="shared" si="0"/>
        <v>2.0870000000000002</v>
      </c>
      <c r="I18" s="40">
        <f t="shared" si="0"/>
        <v>2.0859999999999999</v>
      </c>
      <c r="J18" s="40">
        <f t="shared" si="0"/>
        <v>2.0870000000000002</v>
      </c>
      <c r="K18" s="40">
        <f t="shared" si="0"/>
        <v>2.0910000000000002</v>
      </c>
      <c r="L18" s="40">
        <f t="shared" si="0"/>
        <v>2.089</v>
      </c>
      <c r="M18" s="40">
        <f>IF($A$23,"n.a.",M17+M13)</f>
        <v>2.09</v>
      </c>
      <c r="N18" s="32"/>
      <c r="O18" s="32"/>
      <c r="P18" s="28"/>
    </row>
    <row r="19" spans="1:26" ht="15" customHeight="1">
      <c r="A19" s="33" t="s">
        <v>85</v>
      </c>
      <c r="B19" s="30"/>
      <c r="C19" s="30"/>
      <c r="D19" s="30"/>
      <c r="E19" s="30"/>
      <c r="F19" s="30"/>
      <c r="G19" s="30"/>
      <c r="H19" s="30"/>
      <c r="I19" s="30"/>
      <c r="J19" s="30"/>
      <c r="K19" s="30"/>
      <c r="L19" s="30"/>
      <c r="M19" s="30"/>
      <c r="N19" s="32"/>
      <c r="O19" s="32"/>
      <c r="P19" s="28"/>
    </row>
    <row r="20" spans="1:26">
      <c r="A20" s="37" t="s">
        <v>92</v>
      </c>
      <c r="B20" s="185">
        <v>4.1879999999999997</v>
      </c>
      <c r="C20" s="185">
        <v>4.093</v>
      </c>
      <c r="D20" s="185">
        <v>3.9350000000000001</v>
      </c>
      <c r="E20" s="185">
        <v>3.9140000000000001</v>
      </c>
      <c r="F20" s="185">
        <v>3.8940000000000001</v>
      </c>
      <c r="G20" s="185">
        <v>3.871</v>
      </c>
      <c r="H20" s="185">
        <v>3.85</v>
      </c>
      <c r="I20" s="185">
        <v>3.8359999999999999</v>
      </c>
      <c r="J20" s="185">
        <v>3.8260000000000001</v>
      </c>
      <c r="K20" s="185">
        <v>3.8149999999999999</v>
      </c>
      <c r="L20" s="185">
        <v>3.7970000000000002</v>
      </c>
      <c r="M20" s="185">
        <v>3.7719999999999998</v>
      </c>
      <c r="N20" s="32"/>
      <c r="O20" s="32"/>
      <c r="P20" s="12"/>
    </row>
    <row r="21" spans="1:26">
      <c r="A21" s="39" t="s">
        <v>21</v>
      </c>
      <c r="B21" s="186">
        <f>IF($A$23,"n.a.",B20)</f>
        <v>4.1879999999999997</v>
      </c>
      <c r="C21" s="186">
        <f t="shared" ref="C21:L21" si="1">IF($A$23,"n.a.",C20+C14)</f>
        <v>4.1929999999999996</v>
      </c>
      <c r="D21" s="186">
        <f t="shared" si="1"/>
        <v>4.0350000000000001</v>
      </c>
      <c r="E21" s="186">
        <f t="shared" si="1"/>
        <v>4.0140000000000002</v>
      </c>
      <c r="F21" s="186">
        <f t="shared" si="1"/>
        <v>3.9940000000000002</v>
      </c>
      <c r="G21" s="186">
        <f t="shared" si="1"/>
        <v>3.9710000000000001</v>
      </c>
      <c r="H21" s="186">
        <f t="shared" si="1"/>
        <v>3.95</v>
      </c>
      <c r="I21" s="186">
        <f t="shared" si="1"/>
        <v>3.9359999999999999</v>
      </c>
      <c r="J21" s="186">
        <f t="shared" si="1"/>
        <v>3.9260000000000002</v>
      </c>
      <c r="K21" s="186">
        <f t="shared" si="1"/>
        <v>3.915</v>
      </c>
      <c r="L21" s="186">
        <f t="shared" si="1"/>
        <v>3.8970000000000002</v>
      </c>
      <c r="M21" s="186">
        <f>IF($A$23,"n.a.",M20+M14)</f>
        <v>3.8719999999999999</v>
      </c>
      <c r="N21" s="32"/>
      <c r="O21" s="32"/>
      <c r="P21" s="28"/>
    </row>
    <row r="22" spans="1:26" ht="15" customHeight="1">
      <c r="A22" s="41"/>
      <c r="B22" s="42"/>
      <c r="C22" s="42"/>
      <c r="D22" s="42"/>
      <c r="E22" s="42"/>
      <c r="F22" s="42"/>
      <c r="G22" s="42"/>
      <c r="H22" s="42"/>
      <c r="I22" s="42"/>
      <c r="J22" s="42"/>
      <c r="K22" s="42"/>
      <c r="L22" s="42"/>
      <c r="M22" s="42"/>
      <c r="N22" s="43"/>
      <c r="O22" s="43"/>
      <c r="P22" s="28"/>
    </row>
    <row r="23" spans="1:26" ht="15" customHeight="1">
      <c r="A23" s="44">
        <f>IF(OR(MAX(C13:M14)&gt;1,MIN(C13:M14)&lt;-1),1,0)</f>
        <v>0</v>
      </c>
      <c r="B23" s="32"/>
      <c r="C23" s="32"/>
      <c r="D23" s="32"/>
      <c r="E23" s="32"/>
      <c r="F23" s="32"/>
      <c r="G23" s="32"/>
      <c r="H23" s="32"/>
      <c r="I23" s="32"/>
      <c r="J23" s="32"/>
      <c r="K23" s="32"/>
      <c r="L23" s="32"/>
      <c r="M23" s="32"/>
      <c r="N23" s="32"/>
      <c r="O23" s="32"/>
      <c r="P23" s="28"/>
    </row>
    <row r="24" spans="1:26" ht="15" customHeight="1">
      <c r="A24" s="45"/>
      <c r="B24" s="46"/>
      <c r="C24" s="220"/>
      <c r="D24" s="220"/>
      <c r="E24" s="220"/>
      <c r="F24" s="220"/>
      <c r="G24" s="220"/>
      <c r="H24" s="220"/>
      <c r="I24" s="220"/>
      <c r="J24" s="220"/>
      <c r="K24" s="220"/>
      <c r="L24" s="220"/>
      <c r="M24" s="171"/>
      <c r="N24" s="46"/>
      <c r="O24" s="46"/>
    </row>
    <row r="25" spans="1:26" s="13" customFormat="1" ht="15" customHeight="1">
      <c r="A25" s="9"/>
      <c r="B25" s="47"/>
      <c r="C25" s="220" t="s">
        <v>60</v>
      </c>
      <c r="D25" s="220"/>
      <c r="E25" s="220"/>
      <c r="F25" s="220"/>
      <c r="G25" s="220"/>
      <c r="H25" s="220"/>
      <c r="I25" s="220"/>
      <c r="J25" s="220"/>
      <c r="K25" s="220"/>
      <c r="L25" s="220"/>
      <c r="M25" s="220"/>
      <c r="N25" s="218" t="s">
        <v>15</v>
      </c>
      <c r="O25" s="218"/>
    </row>
    <row r="26" spans="1:26" s="13" customFormat="1" ht="15" customHeight="1">
      <c r="A26" s="9"/>
      <c r="B26" s="47"/>
      <c r="C26" s="47"/>
      <c r="D26" s="47"/>
      <c r="E26" s="47"/>
      <c r="F26" s="47"/>
      <c r="G26" s="47"/>
      <c r="H26" s="47"/>
      <c r="I26" s="47"/>
      <c r="J26" s="47"/>
      <c r="K26" s="47"/>
      <c r="L26" s="47"/>
      <c r="M26" s="47"/>
      <c r="N26" s="48" t="s">
        <v>91</v>
      </c>
      <c r="O26" s="48" t="s">
        <v>91</v>
      </c>
    </row>
    <row r="27" spans="1:26" s="13" customFormat="1" ht="15" customHeight="1">
      <c r="A27" s="14"/>
      <c r="B27" s="49">
        <v>2024</v>
      </c>
      <c r="C27" s="49">
        <v>2025</v>
      </c>
      <c r="D27" s="49">
        <v>2026</v>
      </c>
      <c r="E27" s="49">
        <v>2027</v>
      </c>
      <c r="F27" s="49">
        <v>2028</v>
      </c>
      <c r="G27" s="49">
        <v>2029</v>
      </c>
      <c r="H27" s="49">
        <v>2030</v>
      </c>
      <c r="I27" s="49">
        <v>2031</v>
      </c>
      <c r="J27" s="49">
        <v>2032</v>
      </c>
      <c r="K27" s="49">
        <v>2033</v>
      </c>
      <c r="L27" s="49">
        <v>2034</v>
      </c>
      <c r="M27" s="49">
        <v>2035</v>
      </c>
      <c r="N27" s="166">
        <v>2030</v>
      </c>
      <c r="O27" s="166">
        <v>2035</v>
      </c>
    </row>
    <row r="28" spans="1:26" ht="15" customHeight="1">
      <c r="A28" s="50" t="s">
        <v>59</v>
      </c>
      <c r="B28" s="181" t="s">
        <v>3</v>
      </c>
      <c r="C28" s="181" cm="1">
        <f t="array" ref="C28">IF($A$23,"n.a.",ROUND(TRUNC(SUMPRODUCT($C14:$M14,TRANSPOSE(C113:C123))-C125*(C14*0.75),3)+('8. Inflation and Interest_CBO'!C11-'7. Interest Rates_CBO'!C11)/('8. Inflation and Interest_CBO'!C58-'8. Inflation and Interest_CBO'!C57)*(ROUND('4. Inflation and Interest'!C75,1)-ROUND('4. Inflation and Interest'!C74,1)),3))</f>
        <v>1.5589999999999999</v>
      </c>
      <c r="D28" s="181" cm="1">
        <f t="array" ref="D28">IF($A$23,"n.a.",ROUND(TRUNC(SUMPRODUCT($C14:$M14,TRANSPOSE(D113:D123))-D125*(D14*0.75+C14*0.25),3)+('8. Inflation and Interest_CBO'!D11-'7. Interest Rates_CBO'!D11)/('8. Inflation and Interest_CBO'!D58-'8. Inflation and Interest_CBO'!D57)*(ROUND('4. Inflation and Interest'!D75,1)-ROUND('4. Inflation and Interest'!D74,1)),3))</f>
        <v>7.2610000000000001</v>
      </c>
      <c r="E28" s="181" cm="1">
        <f t="array" ref="E28">IF($A$23,"n.a.",ROUND(TRUNC(SUMPRODUCT($C14:$M14,TRANSPOSE(E113:E123))-E125*(E14*0.75+D14*0.25),3)+('8. Inflation and Interest_CBO'!E11-'7. Interest Rates_CBO'!E11)/('8. Inflation and Interest_CBO'!E58-'8. Inflation and Interest_CBO'!E57)*(ROUND('4. Inflation and Interest'!E75,1)-ROUND('4. Inflation and Interest'!E74,1)),3))</f>
        <v>13.503</v>
      </c>
      <c r="F28" s="181" cm="1">
        <f t="array" ref="F28">IF($A$23,"n.a.",ROUND(TRUNC(SUMPRODUCT($C14:$M14,TRANSPOSE(F113:F123))-F125*(F14*0.75+E14*0.25),3)+('8. Inflation and Interest_CBO'!F11-'7. Interest Rates_CBO'!F11)/('8. Inflation and Interest_CBO'!F58-'8. Inflation and Interest_CBO'!F57)*(ROUND('4. Inflation and Interest'!F75,1)-ROUND('4. Inflation and Interest'!F74,1)),3))</f>
        <v>19.902000000000001</v>
      </c>
      <c r="G28" s="181" cm="1">
        <f t="array" ref="G28">IF($A$23,"n.a.",ROUND(TRUNC(SUMPRODUCT($C14:$M14,TRANSPOSE(G113:G123))-G125*(G14*0.75+F14*0.25),3)+('8. Inflation and Interest_CBO'!G11-'7. Interest Rates_CBO'!G11)/('8. Inflation and Interest_CBO'!G58-'8. Inflation and Interest_CBO'!G57)*(ROUND('4. Inflation and Interest'!G75,1)-ROUND('4. Inflation and Interest'!G74,1)),3))</f>
        <v>26.690999999999999</v>
      </c>
      <c r="H28" s="181" cm="1">
        <f t="array" ref="H28">IF($A$23,"n.a.",ROUND(TRUNC(SUMPRODUCT($C14:$M14,TRANSPOSE(H113:H123))-H125*(H14*0.75+G14*0.25),3)+('8. Inflation and Interest_CBO'!H11-'7. Interest Rates_CBO'!H11)/('8. Inflation and Interest_CBO'!H58-'8. Inflation and Interest_CBO'!H57)*(ROUND('4. Inflation and Interest'!H75,1)-ROUND('4. Inflation and Interest'!H74,1)),3))</f>
        <v>33.924999999999997</v>
      </c>
      <c r="I28" s="181" cm="1">
        <f t="array" ref="I28">IF($A$23,"n.a.",ROUND(TRUNC(SUMPRODUCT($C14:$M14,TRANSPOSE(I113:I123))-I125*(I14*0.75+H14*0.25),3)+('8. Inflation and Interest_CBO'!I11-'7. Interest Rates_CBO'!I11)/('8. Inflation and Interest_CBO'!I58-'8. Inflation and Interest_CBO'!I57)*(ROUND('4. Inflation and Interest'!I75,1)-ROUND('4. Inflation and Interest'!I74,1)),3))</f>
        <v>41.555999999999997</v>
      </c>
      <c r="J28" s="181" cm="1">
        <f t="array" ref="J28">IF($A$23,"n.a.",ROUND(TRUNC(SUMPRODUCT($C14:$M14,TRANSPOSE(J113:J123))-J125*(J14*0.75+I14*0.25),3)+('8. Inflation and Interest_CBO'!J11-'7. Interest Rates_CBO'!J11)/('8. Inflation and Interest_CBO'!J58-'8. Inflation and Interest_CBO'!J57)*(ROUND('4. Inflation and Interest'!J75,1)-ROUND('4. Inflation and Interest'!J74,1)),3))</f>
        <v>49.813000000000002</v>
      </c>
      <c r="K28" s="181" cm="1">
        <f t="array" ref="K28">IF($A$23,"n.a.",ROUND(TRUNC(SUMPRODUCT($C14:$M14,TRANSPOSE(K113:K123))-K125*(K14*0.75+J14*0.25),3)+('8. Inflation and Interest_CBO'!K11-'7. Interest Rates_CBO'!K11)/('8. Inflation and Interest_CBO'!K58-'8. Inflation and Interest_CBO'!K57)*(ROUND('4. Inflation and Interest'!K75,1)-ROUND('4. Inflation and Interest'!K74,1)),3))</f>
        <v>58.186999999999998</v>
      </c>
      <c r="L28" s="181" cm="1">
        <f t="array" ref="L28">IF($A$23,"n.a.",ROUND(TRUNC(SUMPRODUCT($C14:$M14,TRANSPOSE(L113:L123))-L125*(L14*0.75+K14*0.25),3)+('8. Inflation and Interest_CBO'!L11-'7. Interest Rates_CBO'!L11)/('8. Inflation and Interest_CBO'!L58-'8. Inflation and Interest_CBO'!L57)*(ROUND('4. Inflation and Interest'!L75,1)-ROUND('4. Inflation and Interest'!L74,1)),3))</f>
        <v>67.450999999999993</v>
      </c>
      <c r="M28" s="181" cm="1">
        <f t="array" ref="M28">IF($A$23,"n.a.",ROUND(TRUNC(SUMPRODUCT($C14:$M14,TRANSPOSE(M113:M123))-M125*(M14*0.75+L14*0.25),3)+('8. Inflation and Interest_CBO'!M11-'7. Interest Rates_CBO'!M11)/('8. Inflation and Interest_CBO'!M58-'8. Inflation and Interest_CBO'!M57)*(ROUND('4. Inflation and Interest'!M75,1)-ROUND('4. Inflation and Interest'!M74,1)),3))</f>
        <v>77.183000000000007</v>
      </c>
      <c r="N28" s="51">
        <f>IF($A$23,"n.a.",SUM(D28:H28))</f>
        <v>101.282</v>
      </c>
      <c r="O28" s="51">
        <f>IF($A$23,"n.a.",SUM(D28:M28))</f>
        <v>395.47199999999998</v>
      </c>
    </row>
    <row r="29" spans="1:26" ht="15" customHeight="1">
      <c r="A29" s="50"/>
      <c r="B29" s="181"/>
      <c r="C29" s="181"/>
      <c r="D29" s="181"/>
      <c r="E29" s="181"/>
      <c r="F29" s="181"/>
      <c r="G29" s="181"/>
      <c r="H29" s="181"/>
      <c r="I29" s="181"/>
      <c r="J29" s="181"/>
      <c r="K29" s="181"/>
      <c r="L29" s="181"/>
      <c r="M29" s="181"/>
      <c r="N29" s="51"/>
      <c r="O29" s="51"/>
    </row>
    <row r="30" spans="1:26" ht="15" customHeight="1">
      <c r="A30" s="50" t="s">
        <v>61</v>
      </c>
      <c r="B30" s="51"/>
      <c r="C30" s="51"/>
      <c r="D30" s="51"/>
      <c r="E30" s="51"/>
      <c r="F30" s="51"/>
      <c r="G30" s="51"/>
      <c r="H30" s="51"/>
      <c r="I30" s="51"/>
      <c r="J30" s="51"/>
      <c r="K30" s="51"/>
      <c r="L30" s="51"/>
      <c r="M30" s="51"/>
      <c r="N30" s="52"/>
      <c r="O30" s="52"/>
    </row>
    <row r="31" spans="1:26" ht="15" customHeight="1">
      <c r="A31" s="53" t="s">
        <v>0</v>
      </c>
      <c r="B31" s="181" t="s">
        <v>3</v>
      </c>
      <c r="C31" s="181">
        <f>IF($A$23,"n.a.",ROUND('7. Interest Rates_CBO'!C14*C127/('7. Interest Rates_CBO'!C63-'7. Interest Rates_CBO'!C62)+('8. Inflation and Interest_CBO'!C14-'7. Interest Rates_CBO'!C14)/('8. Inflation and Interest_CBO'!C58-'8. Inflation and Interest_CBO'!C57)*(ROUND('4. Inflation and Interest'!C75,1)-ROUND('4. Inflation and Interest'!C74,1)),3))</f>
        <v>0.40300000000000002</v>
      </c>
      <c r="D31" s="181">
        <f>IF($A$23,"n.a.",ROUND('7. Interest Rates_CBO'!D14*D127/('7. Interest Rates_CBO'!D63-'7. Interest Rates_CBO'!D62)+('8. Inflation and Interest_CBO'!D14-'7. Interest Rates_CBO'!D14)/('8. Inflation and Interest_CBO'!D58-'8. Inflation and Interest_CBO'!D57)*(ROUND('4. Inflation and Interest'!D75,1)-ROUND('4. Inflation and Interest'!D74,1)),3))</f>
        <v>3.2959999999999998</v>
      </c>
      <c r="E31" s="181">
        <f>IF($A$23,"n.a.",ROUND('7. Interest Rates_CBO'!E14*E127/('7. Interest Rates_CBO'!E63-'7. Interest Rates_CBO'!E62)+('8. Inflation and Interest_CBO'!E14-'7. Interest Rates_CBO'!E14)/('8. Inflation and Interest_CBO'!E58-'8. Inflation and Interest_CBO'!E57)*(ROUND('4. Inflation and Interest'!E75,1)-ROUND('4. Inflation and Interest'!E74,1)),3))</f>
        <v>7.1260000000000003</v>
      </c>
      <c r="F31" s="181">
        <f>IF($A$23,"n.a.",ROUND('7. Interest Rates_CBO'!F14*F127/('7. Interest Rates_CBO'!F63-'7. Interest Rates_CBO'!F62)+('8. Inflation and Interest_CBO'!F14-'7. Interest Rates_CBO'!F14)/('8. Inflation and Interest_CBO'!F58-'8. Inflation and Interest_CBO'!F57)*(ROUND('4. Inflation and Interest'!F75,1)-ROUND('4. Inflation and Interest'!F74,1)),3))</f>
        <v>11.473000000000001</v>
      </c>
      <c r="G31" s="181">
        <f>IF($A$23,"n.a.",ROUND('7. Interest Rates_CBO'!G14*G127/('7. Interest Rates_CBO'!G63-'7. Interest Rates_CBO'!G62)+('8. Inflation and Interest_CBO'!G14-'7. Interest Rates_CBO'!G14)/('8. Inflation and Interest_CBO'!G58-'8. Inflation and Interest_CBO'!G57)*(ROUND('4. Inflation and Interest'!G75,1)-ROUND('4. Inflation and Interest'!G74,1)),3))</f>
        <v>16.015999999999998</v>
      </c>
      <c r="H31" s="181">
        <f>IF($A$23,"n.a.",ROUND('7. Interest Rates_CBO'!H14*H127/('7. Interest Rates_CBO'!H63-'7. Interest Rates_CBO'!H62)+('8. Inflation and Interest_CBO'!H14-'7. Interest Rates_CBO'!H14)/('8. Inflation and Interest_CBO'!H58-'8. Inflation and Interest_CBO'!H57)*(ROUND('4. Inflation and Interest'!H75,1)-ROUND('4. Inflation and Interest'!H74,1)),3))</f>
        <v>21.023</v>
      </c>
      <c r="I31" s="181">
        <f>IF($A$23,"n.a.",ROUND('7. Interest Rates_CBO'!I14*I127/('7. Interest Rates_CBO'!I63-'7. Interest Rates_CBO'!I62)+('8. Inflation and Interest_CBO'!I14-'7. Interest Rates_CBO'!I14)/('8. Inflation and Interest_CBO'!I58-'8. Inflation and Interest_CBO'!I57)*(ROUND('4. Inflation and Interest'!I75,1)-ROUND('4. Inflation and Interest'!I74,1)),3))</f>
        <v>26.271999999999998</v>
      </c>
      <c r="J31" s="181">
        <f>IF($A$23,"n.a.",ROUND('7. Interest Rates_CBO'!J14*J127/('7. Interest Rates_CBO'!J63-'7. Interest Rates_CBO'!J62)+('8. Inflation and Interest_CBO'!J14-'7. Interest Rates_CBO'!J14)/('8. Inflation and Interest_CBO'!J58-'8. Inflation and Interest_CBO'!J57)*(ROUND('4. Inflation and Interest'!J75,1)-ROUND('4. Inflation and Interest'!J74,1)),3))</f>
        <v>32.243000000000002</v>
      </c>
      <c r="K31" s="181">
        <f>IF($A$23,"n.a.",ROUND('7. Interest Rates_CBO'!K14*K127/('7. Interest Rates_CBO'!K63-'7. Interest Rates_CBO'!K62)+('8. Inflation and Interest_CBO'!K14-'7. Interest Rates_CBO'!K14)/('8. Inflation and Interest_CBO'!K58-'8. Inflation and Interest_CBO'!K57)*(ROUND('4. Inflation and Interest'!K75,1)-ROUND('4. Inflation and Interest'!K74,1)),3))</f>
        <v>39.042999999999999</v>
      </c>
      <c r="L31" s="181">
        <f>IF($A$23,"n.a.",ROUND('7. Interest Rates_CBO'!L14*L127/('7. Interest Rates_CBO'!L63-'7. Interest Rates_CBO'!L62)+('8. Inflation and Interest_CBO'!L14-'7. Interest Rates_CBO'!L14)/('8. Inflation and Interest_CBO'!L58-'8. Inflation and Interest_CBO'!L57)*(ROUND('4. Inflation and Interest'!L75,1)-ROUND('4. Inflation and Interest'!L74,1)),3))</f>
        <v>45.332999999999998</v>
      </c>
      <c r="M31" s="181">
        <f>IF($A$23,"n.a.",ROUND('7. Interest Rates_CBO'!M14*M127/('7. Interest Rates_CBO'!M63-'7. Interest Rates_CBO'!M62)+('8. Inflation and Interest_CBO'!M14-'7. Interest Rates_CBO'!M14)/('8. Inflation and Interest_CBO'!M58-'8. Inflation and Interest_CBO'!M57)*(ROUND('4. Inflation and Interest'!M75,1)-ROUND('4. Inflation and Interest'!M74,1)),3))</f>
        <v>51.832000000000001</v>
      </c>
      <c r="N31" s="51">
        <f>IF($A$23,"n.a.",SUM(D31:H31))</f>
        <v>58.933999999999997</v>
      </c>
      <c r="O31" s="51">
        <f>IF($A$23,"n.a.",SUM(D31:M31))</f>
        <v>253.65699999999998</v>
      </c>
    </row>
    <row r="32" spans="1:26" ht="15" customHeight="1">
      <c r="A32" s="156" t="s">
        <v>30</v>
      </c>
      <c r="B32" s="181" t="s">
        <v>3</v>
      </c>
      <c r="C32" s="181">
        <f>IF($A$23,"n.a.",'8. Inflation and Interest_CBO'!C15/('8. Inflation and Interest_CBO'!C58-'8. Inflation and Interest_CBO'!C57)*(ROUND('4. Inflation and Interest'!C75,1)-ROUND('4. Inflation and Interest'!C74,1)))</f>
        <v>0</v>
      </c>
      <c r="D32" s="181">
        <f>IF($A$23,"n.a.",'8. Inflation and Interest_CBO'!D15/('8. Inflation and Interest_CBO'!D58-'8. Inflation and Interest_CBO'!D57)*(ROUND('4. Inflation and Interest'!D75,1)-ROUND('4. Inflation and Interest'!D74,1)))</f>
        <v>1.0880000000000001</v>
      </c>
      <c r="E32" s="181">
        <f>IF($A$23,"n.a.",'8. Inflation and Interest_CBO'!E15/('8. Inflation and Interest_CBO'!E58-'8. Inflation and Interest_CBO'!E57)*(ROUND('4. Inflation and Interest'!E75,1)-ROUND('4. Inflation and Interest'!E74,1)))</f>
        <v>2.665</v>
      </c>
      <c r="F32" s="181">
        <f>IF($A$23,"n.a.",'8. Inflation and Interest_CBO'!F15/('8. Inflation and Interest_CBO'!F58-'8. Inflation and Interest_CBO'!F57)*(ROUND('4. Inflation and Interest'!F75,1)-ROUND('4. Inflation and Interest'!F74,1)))</f>
        <v>4.4640000000000004</v>
      </c>
      <c r="G32" s="181">
        <f>IF($A$23,"n.a.",'8. Inflation and Interest_CBO'!G15/('8. Inflation and Interest_CBO'!G58-'8. Inflation and Interest_CBO'!G57)*(ROUND('4. Inflation and Interest'!G75,1)-ROUND('4. Inflation and Interest'!G74,1)))</f>
        <v>6.4210000000000003</v>
      </c>
      <c r="H32" s="181">
        <f>IF($A$23,"n.a.",'8. Inflation and Interest_CBO'!H15/('8. Inflation and Interest_CBO'!H58-'8. Inflation and Interest_CBO'!H57)*(ROUND('4. Inflation and Interest'!H75,1)-ROUND('4. Inflation and Interest'!H74,1)))</f>
        <v>8.5449999999999999</v>
      </c>
      <c r="I32" s="181">
        <f>IF($A$23,"n.a.",'8. Inflation and Interest_CBO'!I15/('8. Inflation and Interest_CBO'!I58-'8. Inflation and Interest_CBO'!I57)*(ROUND('4. Inflation and Interest'!I75,1)-ROUND('4. Inflation and Interest'!I74,1)))</f>
        <v>10.747999999999999</v>
      </c>
      <c r="J32" s="181">
        <f>IF($A$23,"n.a.",'8. Inflation and Interest_CBO'!J15/('8. Inflation and Interest_CBO'!J58-'8. Inflation and Interest_CBO'!J57)*(ROUND('4. Inflation and Interest'!J75,1)-ROUND('4. Inflation and Interest'!J74,1)))</f>
        <v>13.045999999999999</v>
      </c>
      <c r="K32" s="181">
        <f>IF($A$23,"n.a.",'8. Inflation and Interest_CBO'!K15/('8. Inflation and Interest_CBO'!K58-'8. Inflation and Interest_CBO'!K57)*(ROUND('4. Inflation and Interest'!K75,1)-ROUND('4. Inflation and Interest'!K74,1)))</f>
        <v>15.441999999999998</v>
      </c>
      <c r="L32" s="181">
        <f>IF($A$23,"n.a.",'8. Inflation and Interest_CBO'!L15/('8. Inflation and Interest_CBO'!L58-'8. Inflation and Interest_CBO'!L57)*(ROUND('4. Inflation and Interest'!L75,1)-ROUND('4. Inflation and Interest'!L74,1)))</f>
        <v>17.940000000000001</v>
      </c>
      <c r="M32" s="181">
        <f>IF($A$23,"n.a.",'8. Inflation and Interest_CBO'!M15/('8. Inflation and Interest_CBO'!M58-'8. Inflation and Interest_CBO'!M57)*(ROUND('4. Inflation and Interest'!M75,1)-ROUND('4. Inflation and Interest'!M74,1)))</f>
        <v>20.545000000000002</v>
      </c>
      <c r="N32" s="51">
        <f>IF($A$23,"n.a.",SUM(D32:H32))</f>
        <v>23.183</v>
      </c>
      <c r="O32" s="51">
        <f>IF($A$23,"n.a.",SUM(D32:M32))</f>
        <v>100.904</v>
      </c>
      <c r="S32" s="54"/>
      <c r="T32" s="54"/>
      <c r="U32" s="54"/>
      <c r="V32" s="54"/>
      <c r="W32" s="54"/>
      <c r="X32" s="54"/>
      <c r="Y32" s="54"/>
      <c r="Z32" s="54"/>
    </row>
    <row r="33" spans="1:16" ht="15" customHeight="1">
      <c r="A33" s="53" t="s">
        <v>49</v>
      </c>
      <c r="B33" s="51"/>
      <c r="C33" s="51"/>
      <c r="D33" s="51"/>
      <c r="E33" s="51"/>
      <c r="F33" s="51"/>
      <c r="G33" s="51"/>
      <c r="H33" s="51"/>
      <c r="I33" s="51"/>
      <c r="J33" s="51"/>
      <c r="K33" s="51"/>
      <c r="L33" s="51"/>
      <c r="M33" s="51"/>
      <c r="N33" s="51"/>
      <c r="O33" s="51"/>
    </row>
    <row r="34" spans="1:16" ht="15" customHeight="1">
      <c r="A34" s="55" t="s">
        <v>51</v>
      </c>
      <c r="B34" s="181" t="s">
        <v>3</v>
      </c>
      <c r="C34" s="181" cm="1">
        <f t="array" ref="C34">IF($A$23,"n.a.",ROUND(SUMPRODUCT(TRANSPOSE($C127:$M127),C129:C139),3)+ROUND(C141*C127/('8. Inflation and Interest_CBO'!C64-'8. Inflation and Interest_CBO'!C63),3))</f>
        <v>5.2190000000000003</v>
      </c>
      <c r="D34" s="181" cm="1">
        <f t="array" ref="D34">IF($A$23,"n.a.",ROUND(SUMPRODUCT(TRANSPOSE($C127:$M127),D129:D139),3)+ROUND(D141*D127/('8. Inflation and Interest_CBO'!D64-'8. Inflation and Interest_CBO'!D63),3))</f>
        <v>12.742000000000001</v>
      </c>
      <c r="E34" s="181" cm="1">
        <f t="array" ref="E34">IF($A$23,"n.a.",ROUND(SUMPRODUCT(TRANSPOSE($C127:$M127),E129:E139),3)+ROUND(E141*E127/('8. Inflation and Interest_CBO'!E64-'8. Inflation and Interest_CBO'!E63),3))</f>
        <v>17.446000000000002</v>
      </c>
      <c r="F34" s="181" cm="1">
        <f t="array" ref="F34">IF($A$23,"n.a.",ROUND(SUMPRODUCT(TRANSPOSE($C127:$M127),F129:F139),3)+ROUND(F141*F127/('8. Inflation and Interest_CBO'!F64-'8. Inflation and Interest_CBO'!F63),3))</f>
        <v>21.701000000000001</v>
      </c>
      <c r="G34" s="181" cm="1">
        <f t="array" ref="G34">IF($A$23,"n.a.",ROUND(SUMPRODUCT(TRANSPOSE($C127:$M127),G129:G139),3)+ROUND(G141*G127/('8. Inflation and Interest_CBO'!G64-'8. Inflation and Interest_CBO'!G63),3))</f>
        <v>25.641999999999999</v>
      </c>
      <c r="H34" s="181" cm="1">
        <f t="array" ref="H34">IF($A$23,"n.a.",ROUND(SUMPRODUCT(TRANSPOSE($C127:$M127),H129:H139),3)+ROUND(H141*H127/('8. Inflation and Interest_CBO'!H64-'8. Inflation and Interest_CBO'!H63),3))</f>
        <v>29.475999999999999</v>
      </c>
      <c r="I34" s="181" cm="1">
        <f t="array" ref="I34">IF($A$23,"n.a.",ROUND(SUMPRODUCT(TRANSPOSE($C127:$M127),I129:I139),3)+ROUND(I141*I127/('8. Inflation and Interest_CBO'!I64-'8. Inflation and Interest_CBO'!I63),3))</f>
        <v>32.841999999999999</v>
      </c>
      <c r="J34" s="181" cm="1">
        <f t="array" ref="J34">IF($A$23,"n.a.",ROUND(SUMPRODUCT(TRANSPOSE($C127:$M127),J129:J139),3)+ROUND(J141*J127/('8. Inflation and Interest_CBO'!J64-'8. Inflation and Interest_CBO'!J63),3))</f>
        <v>36.317</v>
      </c>
      <c r="K34" s="181" cm="1">
        <f t="array" ref="K34">IF($A$23,"n.a.",ROUND(SUMPRODUCT(TRANSPOSE($C127:$M127),K129:K139),3)+ROUND(K141*K127/('8. Inflation and Interest_CBO'!K64-'8. Inflation and Interest_CBO'!K63),3))</f>
        <v>39.377000000000002</v>
      </c>
      <c r="L34" s="181" cm="1">
        <f t="array" ref="L34">IF($A$23,"n.a.",ROUND(SUMPRODUCT(TRANSPOSE($C127:$M127),L129:L139),3)+ROUND(L141*L127/('8. Inflation and Interest_CBO'!L64-'8. Inflation and Interest_CBO'!L63),3))</f>
        <v>42.587000000000003</v>
      </c>
      <c r="M34" s="181" cm="1">
        <f t="array" ref="M34">IF($A$23,"n.a.",ROUND(SUMPRODUCT(TRANSPOSE($C127:$M127),M129:M139),3)+ROUND(M141*M127/('8. Inflation and Interest_CBO'!M64-'8. Inflation and Interest_CBO'!M63),3))</f>
        <v>45.526000000000003</v>
      </c>
      <c r="N34" s="51">
        <f>IF($A$23,"n.a.",SUM(D34:H34))</f>
        <v>107.00700000000001</v>
      </c>
      <c r="O34" s="51">
        <f>IF($A$23,"n.a.",SUM(D34:M34))</f>
        <v>303.65600000000001</v>
      </c>
    </row>
    <row r="35" spans="1:16" ht="15" customHeight="1">
      <c r="A35" s="55" t="s">
        <v>52</v>
      </c>
      <c r="B35" s="181" t="s">
        <v>3</v>
      </c>
      <c r="C35" s="181" cm="1">
        <f t="array" ref="C35">IF($A$23,"n.a.",ROUND(SUMPRODUCT(TRANSPOSE($C159:$M159),C161:C171),3) + ROUND(C173*C159/0.1,3))</f>
        <v>2.0590000000000002</v>
      </c>
      <c r="D35" s="181" cm="1">
        <f t="array" ref="D35">IF($A$23,"n.a.",ROUND(SUMPRODUCT(TRANSPOSE($C159:$M159),D161:D171),3) + ROUND(D173*D159/0.1,3))</f>
        <v>1.8009999999999999</v>
      </c>
      <c r="E35" s="181" cm="1">
        <f t="array" ref="E35">IF($A$23,"n.a.",ROUND(SUMPRODUCT(TRANSPOSE($C159:$M159),E161:E171),3) + ROUND(E173*E159/0.1,3))</f>
        <v>1.736</v>
      </c>
      <c r="F35" s="181" cm="1">
        <f t="array" ref="F35">IF($A$23,"n.a.",ROUND(SUMPRODUCT(TRANSPOSE($C159:$M159),F161:F171),3) + ROUND(F173*F159/0.1,3))</f>
        <v>1.603</v>
      </c>
      <c r="G35" s="181" cm="1">
        <f t="array" ref="G35">IF($A$23,"n.a.",ROUND(SUMPRODUCT(TRANSPOSE($C159:$M159),G161:G171),3) + ROUND(G173*G159/0.1,3))</f>
        <v>1.466</v>
      </c>
      <c r="H35" s="181" cm="1">
        <f t="array" ref="H35">IF($A$23,"n.a.",ROUND(SUMPRODUCT(TRANSPOSE($C159:$M159),H161:H171),3) + ROUND(H173*H159/0.1,3))</f>
        <v>1.4</v>
      </c>
      <c r="I35" s="181" cm="1">
        <f t="array" ref="I35">IF($A$23,"n.a.",ROUND(SUMPRODUCT(TRANSPOSE($C159:$M159),I161:I171),3) + ROUND(I173*I159/0.1,3))</f>
        <v>1.4119999999999999</v>
      </c>
      <c r="J35" s="181" cm="1">
        <f t="array" ref="J35">IF($A$23,"n.a.",ROUND(SUMPRODUCT(TRANSPOSE($C159:$M159),J161:J171),3) + ROUND(J173*J159/0.1,3))</f>
        <v>1.421</v>
      </c>
      <c r="K35" s="181" cm="1">
        <f t="array" ref="K35">IF($A$23,"n.a.",ROUND(SUMPRODUCT(TRANSPOSE($C159:$M159),K161:K171),3) + ROUND(K173*K159/0.1,3))</f>
        <v>1.4350000000000001</v>
      </c>
      <c r="L35" s="181" cm="1">
        <f t="array" ref="L35">IF($A$23,"n.a.",ROUND(SUMPRODUCT(TRANSPOSE($C159:$M159),L161:L171),3) + ROUND(L173*L159/0.1,3))</f>
        <v>1.446</v>
      </c>
      <c r="M35" s="181" cm="1">
        <f t="array" ref="M35">IF($A$23,"n.a.",ROUND(SUMPRODUCT(TRANSPOSE($C159:$M159),M161:M171),3) + ROUND(M173*M159/0.1,3))</f>
        <v>1.52</v>
      </c>
      <c r="N35" s="51">
        <f>IF($A$23,"n.a.",SUM(D35:H35))</f>
        <v>8.0060000000000002</v>
      </c>
      <c r="O35" s="51">
        <f>IF($A$23,"n.a.",SUM(D35:M35))</f>
        <v>15.239999999999998</v>
      </c>
    </row>
    <row r="36" spans="1:16" ht="15" customHeight="1">
      <c r="A36" s="55" t="s">
        <v>7</v>
      </c>
      <c r="B36" s="181" t="s">
        <v>3</v>
      </c>
      <c r="C36" s="181" cm="1">
        <f t="array" ref="C36">IF($A$23,"n.a.",ROUND(SUMPRODUCT($C143:$M143,TRANSPOSE(C145:C155)),3) + ROUND((-C157)*C143/('8. Inflation and Interest_CBO'!C25+'8. Inflation and Interest_CBO'!C19),3))</f>
        <v>6.6000000000000003E-2</v>
      </c>
      <c r="D36" s="181" cm="1">
        <f t="array" ref="D36">IF($A$23,"n.a.",ROUND(SUMPRODUCT($C143:$M143,TRANSPOSE(D145:D155)),3) + ROUND((-D157)*D143/('8. Inflation and Interest_CBO'!D25+'8. Inflation and Interest_CBO'!D19),3))</f>
        <v>0.45900000000000002</v>
      </c>
      <c r="E36" s="181" cm="1">
        <f t="array" ref="E36">IF($A$23,"n.a.",ROUND(SUMPRODUCT($C143:$M143,TRANSPOSE(E145:E155)),3) + ROUND((-E157)*E143/('8. Inflation and Interest_CBO'!E25+'8. Inflation and Interest_CBO'!E19),3))</f>
        <v>0.96799999999999997</v>
      </c>
      <c r="F36" s="181" cm="1">
        <f t="array" ref="F36">IF($A$23,"n.a.",ROUND(SUMPRODUCT($C143:$M143,TRANSPOSE(F145:F155)),3) + ROUND((-F157)*F143/('8. Inflation and Interest_CBO'!F25+'8. Inflation and Interest_CBO'!F19),3))</f>
        <v>1.6320000000000001</v>
      </c>
      <c r="G36" s="181" cm="1">
        <f t="array" ref="G36">IF($A$23,"n.a.",ROUND(SUMPRODUCT($C143:$M143,TRANSPOSE(G145:G155)),3) + ROUND((-G157)*G143/('8. Inflation and Interest_CBO'!G25+'8. Inflation and Interest_CBO'!G19),3))</f>
        <v>2.4400000000000004</v>
      </c>
      <c r="H36" s="181" cm="1">
        <f t="array" ref="H36">IF($A$23,"n.a.",ROUND(SUMPRODUCT($C143:$M143,TRANSPOSE(H145:H155)),3) + ROUND((-H157)*H143/('8. Inflation and Interest_CBO'!H25+'8. Inflation and Interest_CBO'!H19),3))</f>
        <v>3.403</v>
      </c>
      <c r="I36" s="181" cm="1">
        <f t="array" ref="I36">IF($A$23,"n.a.",ROUND(SUMPRODUCT($C143:$M143,TRANSPOSE(I145:I155)),3) + ROUND((-I157)*I143/('8. Inflation and Interest_CBO'!I25+'8. Inflation and Interest_CBO'!I19),3))</f>
        <v>4.5010000000000003</v>
      </c>
      <c r="J36" s="181" cm="1">
        <f t="array" ref="J36">IF($A$23,"n.a.",ROUND(SUMPRODUCT($C143:$M143,TRANSPOSE(J145:J155)),3) + ROUND((-J157)*J143/('8. Inflation and Interest_CBO'!J25+'8. Inflation and Interest_CBO'!J19),3))</f>
        <v>5.7530000000000001</v>
      </c>
      <c r="K36" s="181" cm="1">
        <f t="array" ref="K36">IF($A$23,"n.a.",ROUND(SUMPRODUCT($C143:$M143,TRANSPOSE(K145:K155)),3) + ROUND((-K157)*K143/('8. Inflation and Interest_CBO'!K25+'8. Inflation and Interest_CBO'!K19),3))</f>
        <v>7.1669999999999998</v>
      </c>
      <c r="L36" s="181" cm="1">
        <f t="array" ref="L36">IF($A$23,"n.a.",ROUND(SUMPRODUCT($C143:$M143,TRANSPOSE(L145:L155)),3) + ROUND((-L157)*L143/('8. Inflation and Interest_CBO'!L25+'8. Inflation and Interest_CBO'!L19),3))</f>
        <v>8.7369999999999983</v>
      </c>
      <c r="M36" s="181" cm="1">
        <f t="array" ref="M36">IF($A$23,"n.a.",ROUND(SUMPRODUCT($C143:$M143,TRANSPOSE(M145:M155)),3) + ROUND((-M157)*M143/('8. Inflation and Interest_CBO'!M25+'8. Inflation and Interest_CBO'!M19),3))</f>
        <v>10.456</v>
      </c>
      <c r="N36" s="51">
        <f>IF($A$23,"n.a.",SUM(D36:H36))</f>
        <v>8.902000000000001</v>
      </c>
      <c r="O36" s="51">
        <f>IF($A$23,"n.a.",SUM(D36:M36))</f>
        <v>45.516000000000005</v>
      </c>
    </row>
    <row r="37" spans="1:16" ht="3" customHeight="1">
      <c r="A37" s="50"/>
      <c r="B37" s="51" t="s">
        <v>1</v>
      </c>
      <c r="C37" s="51" t="s">
        <v>1</v>
      </c>
      <c r="D37" s="51" t="s">
        <v>1</v>
      </c>
      <c r="E37" s="51" t="s">
        <v>1</v>
      </c>
      <c r="F37" s="51" t="s">
        <v>1</v>
      </c>
      <c r="G37" s="51" t="s">
        <v>1</v>
      </c>
      <c r="H37" s="51" t="s">
        <v>1</v>
      </c>
      <c r="I37" s="51" t="s">
        <v>1</v>
      </c>
      <c r="J37" s="51" t="s">
        <v>1</v>
      </c>
      <c r="K37" s="51" t="s">
        <v>1</v>
      </c>
      <c r="L37" s="51" t="s">
        <v>1</v>
      </c>
      <c r="M37" s="51" t="s">
        <v>1</v>
      </c>
      <c r="N37" s="51" t="s">
        <v>1</v>
      </c>
      <c r="O37" s="51" t="s">
        <v>1</v>
      </c>
    </row>
    <row r="38" spans="1:16" ht="15" customHeight="1">
      <c r="A38" s="56" t="s">
        <v>50</v>
      </c>
      <c r="B38" s="181" t="s">
        <v>3</v>
      </c>
      <c r="C38" s="51">
        <f>IF($A$23,"n.a.",C34+C36+C35)</f>
        <v>7.3440000000000003</v>
      </c>
      <c r="D38" s="51">
        <f t="shared" ref="D38:M38" si="2">IF($A$23,"n.a.",D34+D36+D35)</f>
        <v>15.002000000000001</v>
      </c>
      <c r="E38" s="51">
        <f t="shared" si="2"/>
        <v>20.150000000000002</v>
      </c>
      <c r="F38" s="51">
        <f t="shared" si="2"/>
        <v>24.936000000000003</v>
      </c>
      <c r="G38" s="51">
        <f t="shared" si="2"/>
        <v>29.548000000000002</v>
      </c>
      <c r="H38" s="51">
        <f t="shared" si="2"/>
        <v>34.278999999999996</v>
      </c>
      <c r="I38" s="51">
        <f t="shared" si="2"/>
        <v>38.754999999999995</v>
      </c>
      <c r="J38" s="51">
        <f t="shared" si="2"/>
        <v>43.491</v>
      </c>
      <c r="K38" s="51">
        <f t="shared" si="2"/>
        <v>47.979000000000006</v>
      </c>
      <c r="L38" s="51">
        <f t="shared" si="2"/>
        <v>52.769999999999996</v>
      </c>
      <c r="M38" s="51">
        <f t="shared" si="2"/>
        <v>57.502000000000002</v>
      </c>
      <c r="N38" s="51">
        <f>IF($A$23,"n.a.",SUM(D38:H38))</f>
        <v>123.91500000000001</v>
      </c>
      <c r="O38" s="51">
        <f>IF($A$23,"n.a.",SUM(D38:M38))</f>
        <v>364.41200000000003</v>
      </c>
    </row>
    <row r="39" spans="1:16" ht="15" customHeight="1">
      <c r="A39" s="56"/>
      <c r="B39" s="181"/>
      <c r="C39" s="51"/>
      <c r="D39" s="51"/>
      <c r="E39" s="51"/>
      <c r="F39" s="51"/>
      <c r="G39" s="51"/>
      <c r="H39" s="51"/>
      <c r="I39" s="51"/>
      <c r="J39" s="51"/>
      <c r="K39" s="51"/>
      <c r="L39" s="51"/>
      <c r="M39" s="51"/>
      <c r="N39" s="51"/>
      <c r="O39" s="51"/>
    </row>
    <row r="40" spans="1:16" ht="15" customHeight="1">
      <c r="A40" s="57" t="s">
        <v>62</v>
      </c>
      <c r="B40" s="181" t="s">
        <v>3</v>
      </c>
      <c r="C40" s="51">
        <f>IF($A$23,"n.a.",C31+C32+C38)</f>
        <v>7.7469999999999999</v>
      </c>
      <c r="D40" s="51">
        <f t="shared" ref="D40:L40" si="3">IF($A$23,"n.a.",D31+D32+D38)</f>
        <v>19.386000000000003</v>
      </c>
      <c r="E40" s="51">
        <f t="shared" si="3"/>
        <v>29.941000000000003</v>
      </c>
      <c r="F40" s="51">
        <f t="shared" si="3"/>
        <v>40.873000000000005</v>
      </c>
      <c r="G40" s="51">
        <f t="shared" si="3"/>
        <v>51.984999999999999</v>
      </c>
      <c r="H40" s="51">
        <f t="shared" si="3"/>
        <v>63.846999999999994</v>
      </c>
      <c r="I40" s="51">
        <f t="shared" si="3"/>
        <v>75.774999999999991</v>
      </c>
      <c r="J40" s="51">
        <f t="shared" si="3"/>
        <v>88.78</v>
      </c>
      <c r="K40" s="51">
        <f t="shared" si="3"/>
        <v>102.464</v>
      </c>
      <c r="L40" s="51">
        <f t="shared" si="3"/>
        <v>116.04299999999999</v>
      </c>
      <c r="M40" s="51">
        <f>IF($A$23,"n.a.",M31+M32+M38)</f>
        <v>129.87900000000002</v>
      </c>
      <c r="N40" s="51">
        <f>IF($A$23,"n.a.",SUM(D40:H40))</f>
        <v>206.03199999999998</v>
      </c>
      <c r="O40" s="51">
        <f>IF($A$23,"n.a.",SUM(D40:M40))</f>
        <v>718.97299999999996</v>
      </c>
      <c r="P40" s="58"/>
    </row>
    <row r="41" spans="1:16" ht="15" customHeight="1">
      <c r="A41" s="50"/>
      <c r="B41" s="51"/>
      <c r="C41" s="51"/>
      <c r="D41" s="51"/>
      <c r="E41" s="51"/>
      <c r="F41" s="51"/>
      <c r="G41" s="51"/>
      <c r="H41" s="51"/>
      <c r="I41" s="51"/>
      <c r="J41" s="51"/>
      <c r="K41" s="51"/>
      <c r="L41" s="51"/>
      <c r="M41" s="51"/>
      <c r="N41" s="52"/>
      <c r="O41" s="52"/>
    </row>
    <row r="42" spans="1:16" ht="30" customHeight="1">
      <c r="A42" s="59" t="s">
        <v>104</v>
      </c>
      <c r="B42" s="60" t="s">
        <v>3</v>
      </c>
      <c r="C42" s="52">
        <f>IF($A$23,"n.a.",C28-C40)</f>
        <v>-6.1879999999999997</v>
      </c>
      <c r="D42" s="52">
        <f t="shared" ref="D42:M42" si="4">IF($A$23,"n.a.",D28-D40)</f>
        <v>-12.125000000000004</v>
      </c>
      <c r="E42" s="52">
        <f t="shared" si="4"/>
        <v>-16.438000000000002</v>
      </c>
      <c r="F42" s="52">
        <f t="shared" si="4"/>
        <v>-20.971000000000004</v>
      </c>
      <c r="G42" s="52">
        <f t="shared" si="4"/>
        <v>-25.294</v>
      </c>
      <c r="H42" s="52">
        <f t="shared" si="4"/>
        <v>-29.921999999999997</v>
      </c>
      <c r="I42" s="52">
        <f t="shared" si="4"/>
        <v>-34.218999999999994</v>
      </c>
      <c r="J42" s="52">
        <f t="shared" si="4"/>
        <v>-38.966999999999999</v>
      </c>
      <c r="K42" s="52">
        <f t="shared" si="4"/>
        <v>-44.277000000000001</v>
      </c>
      <c r="L42" s="52">
        <f t="shared" si="4"/>
        <v>-48.591999999999999</v>
      </c>
      <c r="M42" s="52">
        <f t="shared" si="4"/>
        <v>-52.696000000000012</v>
      </c>
      <c r="N42" s="52">
        <f>IF($A$23,"n.a.",SUM(D42:H42))</f>
        <v>-104.75</v>
      </c>
      <c r="O42" s="52">
        <f>IF($A$23,"n.a.",SUM(D42:M42))</f>
        <v>-323.50099999999998</v>
      </c>
    </row>
    <row r="43" spans="1:16" s="73" customFormat="1" ht="15" customHeight="1">
      <c r="A43" s="110"/>
      <c r="B43" s="111"/>
      <c r="C43" s="62"/>
      <c r="D43" s="62"/>
      <c r="E43" s="62"/>
      <c r="F43" s="62"/>
      <c r="G43" s="62"/>
      <c r="H43" s="62"/>
      <c r="I43" s="62"/>
      <c r="J43" s="62"/>
      <c r="K43" s="62"/>
      <c r="L43" s="62"/>
      <c r="M43" s="62"/>
      <c r="N43" s="111"/>
      <c r="O43" s="111"/>
    </row>
    <row r="44" spans="1:16" s="73" customFormat="1" ht="15" customHeight="1">
      <c r="A44" s="64" t="s">
        <v>64</v>
      </c>
      <c r="B44" s="111"/>
      <c r="C44" s="112"/>
      <c r="D44" s="112"/>
      <c r="E44" s="112"/>
      <c r="F44" s="112"/>
      <c r="G44" s="112"/>
      <c r="H44" s="112"/>
      <c r="I44" s="112"/>
      <c r="J44" s="112"/>
      <c r="K44" s="112"/>
      <c r="L44" s="112"/>
      <c r="M44" s="112"/>
      <c r="N44" s="111"/>
      <c r="O44" s="111"/>
    </row>
    <row r="45" spans="1:16" s="73" customFormat="1" ht="15" customHeight="1">
      <c r="A45" s="37" t="s">
        <v>92</v>
      </c>
      <c r="B45" s="203">
        <v>-1832.3809999999994</v>
      </c>
      <c r="C45" s="203">
        <v>-1865.2510000000002</v>
      </c>
      <c r="D45" s="203">
        <v>-1713.2579999999998</v>
      </c>
      <c r="E45" s="203">
        <v>-1686.942</v>
      </c>
      <c r="F45" s="203">
        <v>-1910.7760000000007</v>
      </c>
      <c r="G45" s="203">
        <v>-1938.2679999999991</v>
      </c>
      <c r="H45" s="203">
        <v>-2139.7210000000014</v>
      </c>
      <c r="I45" s="203">
        <v>-2232.7859999999991</v>
      </c>
      <c r="J45" s="203">
        <v>-2370.5820000000003</v>
      </c>
      <c r="K45" s="203">
        <v>-2637.2989999999982</v>
      </c>
      <c r="L45" s="203">
        <v>-2597.2499999999991</v>
      </c>
      <c r="M45" s="203">
        <v>-2531.3779999999988</v>
      </c>
      <c r="N45" s="203">
        <v>-9388.9650000000001</v>
      </c>
      <c r="O45" s="203">
        <v>-21758.259999999995</v>
      </c>
    </row>
    <row r="46" spans="1:16" s="73" customFormat="1" ht="15" customHeight="1">
      <c r="A46" s="67" t="s">
        <v>21</v>
      </c>
      <c r="B46" s="68">
        <f>IF($A$23,"n.a.",B45)</f>
        <v>-1832.3809999999994</v>
      </c>
      <c r="C46" s="68">
        <f>IF($A$23,"n.a.",C45+C42)</f>
        <v>-1871.4390000000003</v>
      </c>
      <c r="D46" s="68">
        <f>IF($A$23,"n.a.",D45+D42)</f>
        <v>-1725.3829999999998</v>
      </c>
      <c r="E46" s="68">
        <f t="shared" ref="E46:L46" si="5">IF($A$23,"n.a.",E45+E42)</f>
        <v>-1703.38</v>
      </c>
      <c r="F46" s="68">
        <f t="shared" si="5"/>
        <v>-1931.7470000000008</v>
      </c>
      <c r="G46" s="68">
        <f t="shared" si="5"/>
        <v>-1963.5619999999992</v>
      </c>
      <c r="H46" s="68">
        <f t="shared" si="5"/>
        <v>-2169.6430000000014</v>
      </c>
      <c r="I46" s="68">
        <f t="shared" si="5"/>
        <v>-2267.0049999999992</v>
      </c>
      <c r="J46" s="68">
        <f t="shared" si="5"/>
        <v>-2409.5490000000004</v>
      </c>
      <c r="K46" s="68">
        <f t="shared" si="5"/>
        <v>-2681.5759999999982</v>
      </c>
      <c r="L46" s="68">
        <f t="shared" si="5"/>
        <v>-2645.8419999999992</v>
      </c>
      <c r="M46" s="68">
        <f>IF($A$23,"n.a.",M45+M42)</f>
        <v>-2584.0739999999987</v>
      </c>
      <c r="N46" s="51">
        <f>IF($A$23,"n.a.",SUM(D46:H46))</f>
        <v>-9493.7150000000001</v>
      </c>
      <c r="O46" s="51">
        <f>IF($A$23,"n.a.",SUM(D46:M46))</f>
        <v>-22081.760999999999</v>
      </c>
    </row>
    <row r="47" spans="1:16" s="63" customFormat="1" ht="15" customHeight="1">
      <c r="A47" s="61"/>
      <c r="B47" s="62"/>
      <c r="C47" s="62"/>
      <c r="D47" s="62"/>
      <c r="E47" s="62"/>
      <c r="F47" s="62"/>
      <c r="G47" s="62"/>
      <c r="H47" s="62"/>
      <c r="I47" s="62"/>
      <c r="J47" s="62"/>
      <c r="K47" s="62"/>
      <c r="L47" s="62"/>
      <c r="M47" s="62"/>
      <c r="N47" s="62"/>
      <c r="O47" s="62"/>
    </row>
    <row r="48" spans="1:16" s="63" customFormat="1" ht="15" customHeight="1">
      <c r="A48" s="64" t="s">
        <v>65</v>
      </c>
      <c r="B48" s="62"/>
      <c r="C48" s="65"/>
      <c r="D48" s="65"/>
      <c r="E48" s="65"/>
      <c r="F48" s="65"/>
      <c r="G48" s="65"/>
      <c r="H48" s="65"/>
      <c r="I48" s="65"/>
      <c r="J48" s="65"/>
      <c r="K48" s="65"/>
      <c r="L48" s="65"/>
      <c r="M48" s="65"/>
      <c r="N48" s="62"/>
      <c r="O48" s="62"/>
    </row>
    <row r="49" spans="1:24" s="63" customFormat="1" ht="15" customHeight="1">
      <c r="A49" s="37" t="s">
        <v>92</v>
      </c>
      <c r="B49" s="203">
        <v>28199.312999999998</v>
      </c>
      <c r="C49" s="203">
        <v>30102.749</v>
      </c>
      <c r="D49" s="203">
        <v>31882.633000000002</v>
      </c>
      <c r="E49" s="203">
        <v>33636.105000000003</v>
      </c>
      <c r="F49" s="203">
        <v>35600.639999999999</v>
      </c>
      <c r="G49" s="203">
        <v>37580.5</v>
      </c>
      <c r="H49" s="203">
        <v>39747.650999999998</v>
      </c>
      <c r="I49" s="203">
        <v>41992.385000000002</v>
      </c>
      <c r="J49" s="203">
        <v>44371.754999999997</v>
      </c>
      <c r="K49" s="203">
        <v>46985.029000000002</v>
      </c>
      <c r="L49" s="203">
        <v>49555.504000000001</v>
      </c>
      <c r="M49" s="203">
        <v>52055.866000000002</v>
      </c>
      <c r="N49" s="204" t="s">
        <v>3</v>
      </c>
      <c r="O49" s="204" t="s">
        <v>3</v>
      </c>
    </row>
    <row r="50" spans="1:24" s="63" customFormat="1" ht="15" customHeight="1">
      <c r="A50" s="67" t="s">
        <v>21</v>
      </c>
      <c r="B50" s="68">
        <f>IF($A$23,"n.a.",B49)</f>
        <v>28199.312999999998</v>
      </c>
      <c r="C50" s="69">
        <f>IF($A$23,"n.a.",C49-SUM($C42:C42))</f>
        <v>30108.936999999998</v>
      </c>
      <c r="D50" s="69">
        <f>IF($A$23,"n.a.",D49-SUM($C42:D42))</f>
        <v>31900.946</v>
      </c>
      <c r="E50" s="69">
        <f>IF($A$23,"n.a.",E49-SUM($C42:E42))</f>
        <v>33670.856</v>
      </c>
      <c r="F50" s="69">
        <f>IF($A$23,"n.a.",F49-SUM($C42:F42))</f>
        <v>35656.362000000001</v>
      </c>
      <c r="G50" s="69">
        <f>IF($A$23,"n.a.",G49-SUM($C42:G42))</f>
        <v>37661.516000000003</v>
      </c>
      <c r="H50" s="69">
        <f>IF($A$23,"n.a.",H49-SUM($C42:H42))</f>
        <v>39858.589</v>
      </c>
      <c r="I50" s="69">
        <f>IF($A$23,"n.a.",I49-SUM($C42:I42))</f>
        <v>42137.542000000001</v>
      </c>
      <c r="J50" s="69">
        <f>IF($A$23,"n.a.",J49-SUM($C42:J42))</f>
        <v>44555.879000000001</v>
      </c>
      <c r="K50" s="69">
        <f>IF($A$23,"n.a.",K49-SUM($C42:K42))</f>
        <v>47213.43</v>
      </c>
      <c r="L50" s="69">
        <f>IF($A$23,"n.a.",L49-SUM($C42:L42))</f>
        <v>49832.497000000003</v>
      </c>
      <c r="M50" s="69">
        <f>IF($A$23,"n.a.",M49-SUM($C42:M42))</f>
        <v>52385.555</v>
      </c>
      <c r="N50" s="51" t="s">
        <v>3</v>
      </c>
      <c r="O50" s="51" t="s">
        <v>3</v>
      </c>
    </row>
    <row r="51" spans="1:24" s="63" customFormat="1" ht="15" customHeight="1">
      <c r="A51" s="61"/>
      <c r="B51" s="62"/>
      <c r="C51" s="62"/>
      <c r="D51" s="62"/>
      <c r="E51" s="62"/>
      <c r="F51" s="62"/>
      <c r="G51" s="62"/>
      <c r="H51" s="62"/>
      <c r="I51" s="62"/>
      <c r="J51" s="62"/>
      <c r="K51" s="62"/>
      <c r="L51" s="62"/>
      <c r="M51" s="62"/>
      <c r="N51" s="62"/>
      <c r="O51" s="62"/>
    </row>
    <row r="52" spans="1:24" s="63" customFormat="1" ht="15" customHeight="1">
      <c r="A52" s="64" t="s">
        <v>66</v>
      </c>
      <c r="B52" s="62"/>
      <c r="C52" s="65"/>
      <c r="D52" s="65"/>
      <c r="E52" s="65"/>
      <c r="F52" s="65"/>
      <c r="G52" s="65"/>
      <c r="H52" s="65"/>
      <c r="I52" s="65"/>
      <c r="J52" s="65"/>
      <c r="K52" s="65"/>
      <c r="L52" s="65"/>
      <c r="M52" s="65"/>
      <c r="N52" s="62"/>
      <c r="O52" s="62"/>
    </row>
    <row r="53" spans="1:24" s="63" customFormat="1" ht="15" customHeight="1">
      <c r="A53" s="37" t="s">
        <v>92</v>
      </c>
      <c r="B53" s="205">
        <v>-6.356215750736907</v>
      </c>
      <c r="C53" s="205">
        <v>-6.189414737684598</v>
      </c>
      <c r="D53" s="205">
        <v>-5.4664504452188911</v>
      </c>
      <c r="E53" s="205">
        <v>-5.1845180236269712</v>
      </c>
      <c r="F53" s="205">
        <v>-5.6591229996571863</v>
      </c>
      <c r="G53" s="205">
        <v>-5.5304585696958828</v>
      </c>
      <c r="H53" s="205">
        <v>-5.8793651941589333</v>
      </c>
      <c r="I53" s="205">
        <v>-5.9080768081261414</v>
      </c>
      <c r="J53" s="205">
        <v>-6.0393242325483074</v>
      </c>
      <c r="K53" s="205">
        <v>-6.4690633173947134</v>
      </c>
      <c r="L53" s="205">
        <v>-6.1356562955235381</v>
      </c>
      <c r="M53" s="205">
        <v>-5.7614482067842996</v>
      </c>
      <c r="N53" s="205">
        <v>-5.5528140647621047</v>
      </c>
      <c r="O53" s="205">
        <v>-5.8307480031125909</v>
      </c>
    </row>
    <row r="54" spans="1:24" s="63" customFormat="1" ht="15" customHeight="1">
      <c r="A54" s="67" t="s">
        <v>21</v>
      </c>
      <c r="B54" s="82">
        <f>IF($A$23,"n.a.",B53)</f>
        <v>-6.356215750736907</v>
      </c>
      <c r="C54" s="173">
        <f>IF($A$23,"n.a.",ROUND(C46/C75*100,3))</f>
        <v>-6.2050000000000001</v>
      </c>
      <c r="D54" s="173">
        <f t="shared" ref="D54:M54" si="6">IF($A$23,"n.a.",ROUND(D46/D75*100,3))</f>
        <v>-5.4960000000000004</v>
      </c>
      <c r="E54" s="173">
        <f t="shared" si="6"/>
        <v>-5.2210000000000001</v>
      </c>
      <c r="F54" s="173">
        <f t="shared" si="6"/>
        <v>-5.7</v>
      </c>
      <c r="G54" s="173">
        <f t="shared" si="6"/>
        <v>-5.577</v>
      </c>
      <c r="H54" s="173">
        <f t="shared" si="6"/>
        <v>-5.9279999999999999</v>
      </c>
      <c r="I54" s="173">
        <f t="shared" si="6"/>
        <v>-5.9589999999999996</v>
      </c>
      <c r="J54" s="173">
        <f t="shared" si="6"/>
        <v>-6.0919999999999996</v>
      </c>
      <c r="K54" s="173">
        <f t="shared" si="6"/>
        <v>-6.5209999999999999</v>
      </c>
      <c r="L54" s="173">
        <f t="shared" si="6"/>
        <v>-6.1909999999999998</v>
      </c>
      <c r="M54" s="173">
        <f t="shared" si="6"/>
        <v>-5.82</v>
      </c>
      <c r="N54" s="173">
        <f>IF($A$23,"n.a.",ROUND(SUM(D46:H46)/SUM(D75:H75)*100,3))</f>
        <v>-5.5940000000000003</v>
      </c>
      <c r="O54" s="173">
        <f>IF($A$23,"n.a.",ROUND(SUM(D46:M46)/SUM(D75:M75)*100,3))</f>
        <v>-5.8789999999999996</v>
      </c>
    </row>
    <row r="55" spans="1:24" s="63" customFormat="1" ht="15" customHeight="1">
      <c r="A55" s="61"/>
      <c r="B55" s="62"/>
      <c r="C55" s="62"/>
      <c r="D55" s="62"/>
      <c r="E55" s="62"/>
      <c r="F55" s="62"/>
      <c r="G55" s="62"/>
      <c r="H55" s="62"/>
      <c r="I55" s="62"/>
      <c r="J55" s="62"/>
      <c r="K55" s="62"/>
      <c r="L55" s="62"/>
      <c r="M55" s="62"/>
      <c r="N55" s="62"/>
      <c r="O55" s="62"/>
    </row>
    <row r="56" spans="1:24" s="63" customFormat="1" ht="15" customHeight="1">
      <c r="A56" s="64" t="s">
        <v>67</v>
      </c>
      <c r="B56" s="62"/>
      <c r="C56" s="65"/>
      <c r="D56" s="65"/>
      <c r="E56" s="65"/>
      <c r="F56" s="65"/>
      <c r="G56" s="65"/>
      <c r="H56" s="65"/>
      <c r="I56" s="65"/>
      <c r="J56" s="65"/>
      <c r="K56" s="65"/>
      <c r="L56" s="65"/>
      <c r="M56" s="65"/>
      <c r="N56" s="62"/>
      <c r="O56" s="62"/>
    </row>
    <row r="57" spans="1:24" s="63" customFormat="1" ht="15" customHeight="1">
      <c r="A57" s="37" t="s">
        <v>92</v>
      </c>
      <c r="B57" s="205">
        <v>97.818585463700003</v>
      </c>
      <c r="C57" s="205">
        <v>99.889182906440084</v>
      </c>
      <c r="D57" s="205">
        <v>101.72713821129133</v>
      </c>
      <c r="E57" s="205">
        <v>103.3746226112749</v>
      </c>
      <c r="F57" s="205">
        <v>105.43800038650033</v>
      </c>
      <c r="G57" s="205">
        <v>107.22841128185381</v>
      </c>
      <c r="H57" s="205">
        <v>109.21562009204769</v>
      </c>
      <c r="I57" s="205">
        <v>111.11420258654621</v>
      </c>
      <c r="J57" s="205">
        <v>113.04203575839034</v>
      </c>
      <c r="K57" s="205">
        <v>115.25015842747715</v>
      </c>
      <c r="L57" s="205">
        <v>117.06826069706111</v>
      </c>
      <c r="M57" s="205">
        <v>118.47980657898738</v>
      </c>
      <c r="N57" s="206" t="s">
        <v>3</v>
      </c>
      <c r="O57" s="206" t="s">
        <v>3</v>
      </c>
    </row>
    <row r="58" spans="1:24" s="63" customFormat="1" ht="15" customHeight="1">
      <c r="A58" s="67" t="s">
        <v>21</v>
      </c>
      <c r="B58" s="82">
        <f>IF($A$23,"n.a.",B57)</f>
        <v>97.818585463700003</v>
      </c>
      <c r="C58" s="173">
        <f>IF($A$23,"n.a.",ROUND(C50/C75*100,3))</f>
        <v>99.835999999999999</v>
      </c>
      <c r="D58" s="173">
        <f t="shared" ref="D58:L58" si="7">IF($A$23,"n.a.",ROUND(D50/D75*100,3))</f>
        <v>101.611</v>
      </c>
      <c r="E58" s="173">
        <f t="shared" si="7"/>
        <v>103.202</v>
      </c>
      <c r="F58" s="173">
        <f t="shared" si="7"/>
        <v>105.215</v>
      </c>
      <c r="G58" s="173">
        <f t="shared" si="7"/>
        <v>106.96</v>
      </c>
      <c r="H58" s="173">
        <f t="shared" si="7"/>
        <v>108.905</v>
      </c>
      <c r="I58" s="173">
        <f t="shared" si="7"/>
        <v>110.76300000000001</v>
      </c>
      <c r="J58" s="173">
        <f t="shared" si="7"/>
        <v>112.652</v>
      </c>
      <c r="K58" s="173">
        <f t="shared" si="7"/>
        <v>114.821</v>
      </c>
      <c r="L58" s="173">
        <f t="shared" si="7"/>
        <v>116.602</v>
      </c>
      <c r="M58" s="173">
        <f>IF($A$23,"n.a.",ROUND(M50/M75*100,3))</f>
        <v>117.98</v>
      </c>
      <c r="N58" s="51" t="s">
        <v>3</v>
      </c>
      <c r="O58" s="51" t="s">
        <v>3</v>
      </c>
    </row>
    <row r="59" spans="1:24" s="73" customFormat="1" ht="15" customHeight="1">
      <c r="A59" s="70"/>
      <c r="B59" s="71"/>
      <c r="C59" s="71"/>
      <c r="D59" s="71"/>
      <c r="E59" s="71"/>
      <c r="F59" s="71"/>
      <c r="G59" s="71"/>
      <c r="H59" s="71"/>
      <c r="I59" s="71"/>
      <c r="J59" s="71"/>
      <c r="K59" s="71"/>
      <c r="L59" s="71"/>
      <c r="M59" s="71"/>
      <c r="N59" s="72"/>
      <c r="O59" s="72"/>
    </row>
    <row r="60" spans="1:24" s="73" customFormat="1" ht="15" customHeight="1">
      <c r="A60" s="66"/>
      <c r="B60" s="74"/>
      <c r="C60" s="74"/>
      <c r="D60" s="74"/>
      <c r="E60" s="74"/>
      <c r="F60" s="74"/>
      <c r="G60" s="74"/>
      <c r="H60" s="74"/>
      <c r="I60" s="74"/>
      <c r="J60" s="74"/>
      <c r="K60" s="74"/>
      <c r="L60" s="74"/>
      <c r="M60" s="74"/>
    </row>
    <row r="61" spans="1:24" s="73" customFormat="1" ht="30.75" customHeight="1">
      <c r="B61" s="215" t="s">
        <v>105</v>
      </c>
      <c r="C61" s="215"/>
      <c r="D61" s="215"/>
      <c r="E61" s="215"/>
      <c r="F61" s="215"/>
      <c r="G61" s="215"/>
      <c r="H61" s="215"/>
      <c r="I61" s="215"/>
      <c r="J61" s="215"/>
      <c r="K61" s="215"/>
      <c r="L61" s="215"/>
      <c r="M61" s="215"/>
      <c r="N61" s="75"/>
    </row>
    <row r="62" spans="1:24" s="73" customFormat="1" ht="15" customHeight="1">
      <c r="B62" s="169"/>
      <c r="C62" s="169"/>
      <c r="D62" s="169"/>
      <c r="E62" s="169"/>
      <c r="F62" s="169"/>
      <c r="G62" s="169"/>
      <c r="H62" s="169"/>
      <c r="I62" s="169"/>
      <c r="J62" s="169"/>
      <c r="K62" s="169"/>
      <c r="L62" s="169"/>
      <c r="M62" s="169"/>
      <c r="N62" s="75"/>
    </row>
    <row r="63" spans="1:24" s="73" customFormat="1" ht="15" customHeight="1">
      <c r="A63" s="76"/>
      <c r="B63" s="49">
        <v>2024</v>
      </c>
      <c r="C63" s="49">
        <v>2025</v>
      </c>
      <c r="D63" s="49">
        <v>2026</v>
      </c>
      <c r="E63" s="49">
        <v>2027</v>
      </c>
      <c r="F63" s="49">
        <v>2028</v>
      </c>
      <c r="G63" s="49">
        <v>2029</v>
      </c>
      <c r="H63" s="49">
        <v>2030</v>
      </c>
      <c r="I63" s="49">
        <v>2031</v>
      </c>
      <c r="J63" s="49">
        <v>2032</v>
      </c>
      <c r="K63" s="49">
        <v>2033</v>
      </c>
      <c r="L63" s="49">
        <v>2034</v>
      </c>
      <c r="M63" s="49">
        <v>2035</v>
      </c>
      <c r="N63" s="75"/>
    </row>
    <row r="64" spans="1:24" s="79" customFormat="1" ht="15" customHeight="1">
      <c r="A64" s="64" t="s">
        <v>68</v>
      </c>
      <c r="B64" s="77"/>
      <c r="C64" s="77"/>
      <c r="D64" s="77"/>
      <c r="E64" s="77"/>
      <c r="F64" s="77"/>
      <c r="G64" s="77"/>
      <c r="H64" s="77"/>
      <c r="I64" s="77"/>
      <c r="J64" s="77"/>
      <c r="K64" s="77"/>
      <c r="L64" s="78"/>
      <c r="M64" s="78"/>
      <c r="N64" s="22"/>
      <c r="O64" s="22"/>
      <c r="P64" s="22"/>
      <c r="Q64" s="22"/>
      <c r="R64" s="22"/>
      <c r="S64" s="22"/>
      <c r="T64" s="22"/>
      <c r="U64" s="22"/>
      <c r="V64" s="22"/>
      <c r="W64" s="22"/>
      <c r="X64" s="22"/>
    </row>
    <row r="65" spans="1:24" s="28" customFormat="1" ht="15" customHeight="1">
      <c r="A65" s="37" t="s">
        <v>92</v>
      </c>
      <c r="B65" s="198">
        <v>2.734</v>
      </c>
      <c r="C65" s="198">
        <v>2.1240000000000001</v>
      </c>
      <c r="D65" s="198">
        <v>1.827</v>
      </c>
      <c r="E65" s="198">
        <v>1.7629999999999999</v>
      </c>
      <c r="F65" s="198">
        <v>1.744</v>
      </c>
      <c r="G65" s="198">
        <v>1.786</v>
      </c>
      <c r="H65" s="198">
        <v>1.821</v>
      </c>
      <c r="I65" s="198">
        <v>1.8220000000000001</v>
      </c>
      <c r="J65" s="198">
        <v>1.8420000000000001</v>
      </c>
      <c r="K65" s="198">
        <v>1.8260000000000001</v>
      </c>
      <c r="L65" s="198">
        <v>1.7969999999999999</v>
      </c>
      <c r="M65" s="198">
        <v>1.76</v>
      </c>
      <c r="N65" s="80"/>
      <c r="O65" s="80"/>
      <c r="P65" s="81"/>
      <c r="Q65" s="81"/>
      <c r="R65" s="81"/>
      <c r="S65" s="81"/>
      <c r="T65" s="81"/>
      <c r="U65" s="81"/>
      <c r="V65" s="81"/>
      <c r="W65" s="81"/>
      <c r="X65" s="81"/>
    </row>
    <row r="66" spans="1:24" s="28" customFormat="1" ht="15" customHeight="1">
      <c r="A66" s="39" t="s">
        <v>21</v>
      </c>
      <c r="B66" s="82">
        <f t="shared" ref="B66:L66" si="8">IF($A$23,"n.a.",B65)</f>
        <v>2.734</v>
      </c>
      <c r="C66" s="82">
        <f>IF($A$23,"n.a.",C65)</f>
        <v>2.1240000000000001</v>
      </c>
      <c r="D66" s="82">
        <f t="shared" si="8"/>
        <v>1.827</v>
      </c>
      <c r="E66" s="82">
        <f t="shared" si="8"/>
        <v>1.7629999999999999</v>
      </c>
      <c r="F66" s="82">
        <f t="shared" si="8"/>
        <v>1.744</v>
      </c>
      <c r="G66" s="82">
        <f>IF($A$23,"n.a.",G65)</f>
        <v>1.786</v>
      </c>
      <c r="H66" s="82">
        <f t="shared" si="8"/>
        <v>1.821</v>
      </c>
      <c r="I66" s="82">
        <f t="shared" si="8"/>
        <v>1.8220000000000001</v>
      </c>
      <c r="J66" s="82">
        <f t="shared" si="8"/>
        <v>1.8420000000000001</v>
      </c>
      <c r="K66" s="82">
        <f t="shared" si="8"/>
        <v>1.8260000000000001</v>
      </c>
      <c r="L66" s="82">
        <f t="shared" si="8"/>
        <v>1.7969999999999999</v>
      </c>
      <c r="M66" s="82">
        <f>IF($A$23,"n.a.",M65)</f>
        <v>1.76</v>
      </c>
      <c r="N66" s="80"/>
      <c r="O66" s="80"/>
      <c r="P66" s="81"/>
      <c r="Q66" s="81"/>
      <c r="R66" s="81"/>
      <c r="S66" s="81"/>
      <c r="T66" s="81"/>
      <c r="U66" s="81"/>
      <c r="V66" s="81"/>
      <c r="W66" s="81"/>
      <c r="X66" s="81"/>
    </row>
    <row r="67" spans="1:24" s="79" customFormat="1" ht="15" customHeight="1">
      <c r="A67" s="64" t="s">
        <v>69</v>
      </c>
      <c r="B67" s="84"/>
      <c r="C67" s="77"/>
      <c r="D67" s="77"/>
      <c r="E67" s="77"/>
      <c r="F67" s="77"/>
      <c r="G67" s="77"/>
      <c r="H67" s="77"/>
      <c r="I67" s="77"/>
      <c r="J67" s="77"/>
      <c r="K67" s="77"/>
      <c r="L67" s="77"/>
      <c r="M67" s="77"/>
      <c r="N67" s="78"/>
      <c r="O67" s="78"/>
      <c r="P67" s="22"/>
      <c r="Q67" s="22"/>
      <c r="R67" s="22"/>
      <c r="S67" s="22"/>
      <c r="T67" s="22"/>
      <c r="U67" s="22"/>
      <c r="V67" s="22"/>
      <c r="W67" s="22"/>
      <c r="X67" s="22"/>
    </row>
    <row r="68" spans="1:24" s="28" customFormat="1" ht="15" customHeight="1">
      <c r="A68" s="37" t="s">
        <v>92</v>
      </c>
      <c r="B68" s="200">
        <v>23290.9</v>
      </c>
      <c r="C68" s="200">
        <v>23785.8</v>
      </c>
      <c r="D68" s="200">
        <v>24220.5</v>
      </c>
      <c r="E68" s="200">
        <v>24647.599999999999</v>
      </c>
      <c r="F68" s="200">
        <v>25077.7</v>
      </c>
      <c r="G68" s="200">
        <v>25525.599999999999</v>
      </c>
      <c r="H68" s="200">
        <v>25990.7</v>
      </c>
      <c r="I68" s="200">
        <v>26464.3</v>
      </c>
      <c r="J68" s="200">
        <v>26952</v>
      </c>
      <c r="K68" s="200">
        <v>27444.400000000001</v>
      </c>
      <c r="L68" s="200">
        <v>27937.8</v>
      </c>
      <c r="M68" s="200">
        <v>28429.599999999999</v>
      </c>
      <c r="N68" s="80"/>
      <c r="O68" s="80"/>
      <c r="P68" s="81"/>
      <c r="Q68" s="81"/>
      <c r="R68" s="81"/>
      <c r="S68" s="81"/>
      <c r="T68" s="81"/>
      <c r="U68" s="81"/>
      <c r="V68" s="81"/>
      <c r="W68" s="81"/>
      <c r="X68" s="81"/>
    </row>
    <row r="69" spans="1:24" s="28" customFormat="1" ht="15" customHeight="1">
      <c r="A69" s="39" t="s">
        <v>21</v>
      </c>
      <c r="B69" s="68">
        <f t="shared" ref="B69:L69" si="9">IF($A$23,"n.a.",B68)</f>
        <v>23290.9</v>
      </c>
      <c r="C69" s="68">
        <f>IF($A$23,"n.a.",C68)</f>
        <v>23785.8</v>
      </c>
      <c r="D69" s="68">
        <f>IF($A$23,"n.a.",D68)</f>
        <v>24220.5</v>
      </c>
      <c r="E69" s="68">
        <f t="shared" si="9"/>
        <v>24647.599999999999</v>
      </c>
      <c r="F69" s="68">
        <f t="shared" si="9"/>
        <v>25077.7</v>
      </c>
      <c r="G69" s="68">
        <f t="shared" si="9"/>
        <v>25525.599999999999</v>
      </c>
      <c r="H69" s="68">
        <f t="shared" si="9"/>
        <v>25990.7</v>
      </c>
      <c r="I69" s="68">
        <f t="shared" si="9"/>
        <v>26464.3</v>
      </c>
      <c r="J69" s="68">
        <f t="shared" si="9"/>
        <v>26952</v>
      </c>
      <c r="K69" s="68">
        <f t="shared" si="9"/>
        <v>27444.400000000001</v>
      </c>
      <c r="L69" s="68">
        <f t="shared" si="9"/>
        <v>27937.8</v>
      </c>
      <c r="M69" s="68">
        <f>IF($A$23,"n.a.",M68)</f>
        <v>28429.599999999999</v>
      </c>
      <c r="N69" s="80"/>
      <c r="O69" s="80"/>
      <c r="P69" s="81"/>
      <c r="Q69" s="81"/>
      <c r="R69" s="81"/>
      <c r="S69" s="81"/>
      <c r="T69" s="81"/>
      <c r="U69" s="81"/>
      <c r="V69" s="81"/>
      <c r="W69" s="81"/>
      <c r="X69" s="81"/>
    </row>
    <row r="70" spans="1:24" s="79" customFormat="1" ht="15" customHeight="1">
      <c r="A70" s="64" t="s">
        <v>70</v>
      </c>
      <c r="B70" s="88"/>
      <c r="C70" s="88"/>
      <c r="D70" s="88"/>
      <c r="E70" s="88"/>
      <c r="F70" s="88"/>
      <c r="G70" s="88"/>
      <c r="H70" s="88"/>
      <c r="I70" s="88"/>
      <c r="J70" s="88"/>
      <c r="K70" s="88"/>
      <c r="L70" s="88"/>
      <c r="M70" s="88"/>
      <c r="N70" s="78"/>
      <c r="O70" s="78"/>
      <c r="P70" s="22"/>
      <c r="Q70" s="22"/>
      <c r="R70" s="22"/>
      <c r="S70" s="22"/>
      <c r="T70" s="22"/>
      <c r="U70" s="22"/>
      <c r="V70" s="22"/>
      <c r="W70" s="22"/>
      <c r="X70" s="22"/>
    </row>
    <row r="71" spans="1:24" s="28" customFormat="1" ht="15" customHeight="1">
      <c r="A71" s="37" t="s">
        <v>92</v>
      </c>
      <c r="B71" s="200">
        <v>29166.2</v>
      </c>
      <c r="C71" s="200">
        <v>30441.1</v>
      </c>
      <c r="D71" s="200">
        <v>31640.6</v>
      </c>
      <c r="E71" s="200">
        <v>32841</v>
      </c>
      <c r="F71" s="200">
        <v>34078.400000000001</v>
      </c>
      <c r="G71" s="200">
        <v>35378.400000000001</v>
      </c>
      <c r="H71" s="200">
        <v>36738.800000000003</v>
      </c>
      <c r="I71" s="200">
        <v>38151.300000000003</v>
      </c>
      <c r="J71" s="200">
        <v>39626.699999999997</v>
      </c>
      <c r="K71" s="200">
        <v>41154.199999999997</v>
      </c>
      <c r="L71" s="200">
        <v>42727.6</v>
      </c>
      <c r="M71" s="200">
        <v>44345.4</v>
      </c>
      <c r="N71" s="80"/>
      <c r="O71" s="80"/>
      <c r="P71" s="81"/>
      <c r="Q71" s="81"/>
      <c r="R71" s="81"/>
      <c r="S71" s="81"/>
      <c r="T71" s="81"/>
      <c r="U71" s="81"/>
      <c r="V71" s="81"/>
      <c r="W71" s="81"/>
      <c r="X71" s="81"/>
    </row>
    <row r="72" spans="1:24" s="28" customFormat="1" ht="15" customHeight="1">
      <c r="A72" s="39" t="s">
        <v>21</v>
      </c>
      <c r="B72" s="68">
        <f>IF($A$23,"n.a.",B71)</f>
        <v>29166.2</v>
      </c>
      <c r="C72" s="68">
        <f>IF($A$23,"n.a.",ROUND(C71*(C87/C86),1))</f>
        <v>30470.799999999999</v>
      </c>
      <c r="D72" s="68">
        <f t="shared" ref="D72:L72" si="10">IF($A$23,"n.a.",ROUND(D71*(D87/D86),1))</f>
        <v>31702.6</v>
      </c>
      <c r="E72" s="68">
        <f t="shared" si="10"/>
        <v>32937.599999999999</v>
      </c>
      <c r="F72" s="68">
        <f t="shared" si="10"/>
        <v>34212.1</v>
      </c>
      <c r="G72" s="68">
        <f t="shared" si="10"/>
        <v>35552</v>
      </c>
      <c r="H72" s="68">
        <f t="shared" si="10"/>
        <v>36955.300000000003</v>
      </c>
      <c r="I72" s="68">
        <f t="shared" si="10"/>
        <v>38413.800000000003</v>
      </c>
      <c r="J72" s="68">
        <f t="shared" si="10"/>
        <v>39938.5</v>
      </c>
      <c r="K72" s="68">
        <f t="shared" si="10"/>
        <v>41518.699999999997</v>
      </c>
      <c r="L72" s="68">
        <f t="shared" si="10"/>
        <v>43148.4</v>
      </c>
      <c r="M72" s="68">
        <f>IF($A$23,"n.a.",ROUND(M71*(M87/M86),1))</f>
        <v>44825.9</v>
      </c>
      <c r="N72" s="80"/>
      <c r="O72" s="80"/>
      <c r="P72" s="81"/>
      <c r="Q72" s="81"/>
      <c r="R72" s="81"/>
      <c r="S72" s="81"/>
      <c r="T72" s="81"/>
      <c r="U72" s="81"/>
      <c r="V72" s="81"/>
      <c r="W72" s="81"/>
      <c r="X72" s="81"/>
    </row>
    <row r="73" spans="1:24" s="79" customFormat="1" ht="15" customHeight="1">
      <c r="A73" s="64" t="s">
        <v>71</v>
      </c>
      <c r="B73" s="88"/>
      <c r="C73" s="88"/>
      <c r="D73" s="88"/>
      <c r="E73" s="88"/>
      <c r="F73" s="88"/>
      <c r="G73" s="88"/>
      <c r="H73" s="88"/>
      <c r="I73" s="88"/>
      <c r="J73" s="88"/>
      <c r="K73" s="88"/>
      <c r="L73" s="88"/>
      <c r="M73" s="88"/>
      <c r="N73" s="78"/>
      <c r="O73" s="78"/>
      <c r="P73" s="22"/>
      <c r="Q73" s="22"/>
      <c r="R73" s="22"/>
      <c r="S73" s="22"/>
      <c r="T73" s="22"/>
      <c r="U73" s="22"/>
      <c r="V73" s="22"/>
      <c r="W73" s="22"/>
      <c r="X73" s="22"/>
    </row>
    <row r="74" spans="1:24" s="28" customFormat="1" ht="15" customHeight="1">
      <c r="A74" s="37" t="s">
        <v>92</v>
      </c>
      <c r="B74" s="200">
        <v>28823</v>
      </c>
      <c r="C74" s="200">
        <v>30136.1</v>
      </c>
      <c r="D74" s="200">
        <v>31341.3</v>
      </c>
      <c r="E74" s="200">
        <v>32538.1</v>
      </c>
      <c r="F74" s="200">
        <v>33764.5</v>
      </c>
      <c r="G74" s="200">
        <v>35047.1</v>
      </c>
      <c r="H74" s="200">
        <v>36393.699999999997</v>
      </c>
      <c r="I74" s="200">
        <v>37792.1</v>
      </c>
      <c r="J74" s="200">
        <v>39252.400000000001</v>
      </c>
      <c r="K74" s="200">
        <v>40767.9</v>
      </c>
      <c r="L74" s="200">
        <v>42330.400000000001</v>
      </c>
      <c r="M74" s="200">
        <v>43936.5</v>
      </c>
      <c r="N74" s="80"/>
      <c r="O74" s="80"/>
      <c r="P74" s="81"/>
      <c r="Q74" s="81"/>
      <c r="R74" s="81"/>
      <c r="S74" s="81"/>
      <c r="T74" s="81"/>
      <c r="U74" s="81"/>
      <c r="V74" s="81"/>
      <c r="W74" s="81"/>
      <c r="X74" s="81"/>
    </row>
    <row r="75" spans="1:24" s="28" customFormat="1" ht="15" customHeight="1">
      <c r="A75" s="39" t="s">
        <v>21</v>
      </c>
      <c r="B75" s="68">
        <f>IF($A$23,"n.a.",B74)</f>
        <v>28823</v>
      </c>
      <c r="C75" s="51">
        <f>IF($A$23,"n.a.",ROUND(C74+(C72-C71)*0.75+(B72-B71)*0.25,1))</f>
        <v>30158.400000000001</v>
      </c>
      <c r="D75" s="51">
        <f t="shared" ref="D75:L75" si="11">IF($A$23,"n.a.",ROUND(D74+(D72-D71)*0.75+(C72-C71)*0.25,1))</f>
        <v>31395.200000000001</v>
      </c>
      <c r="E75" s="51">
        <f t="shared" si="11"/>
        <v>32626.1</v>
      </c>
      <c r="F75" s="51">
        <f t="shared" si="11"/>
        <v>33888.9</v>
      </c>
      <c r="G75" s="51">
        <f t="shared" si="11"/>
        <v>35210.699999999997</v>
      </c>
      <c r="H75" s="51">
        <f t="shared" si="11"/>
        <v>36599.5</v>
      </c>
      <c r="I75" s="51">
        <f t="shared" si="11"/>
        <v>38043.1</v>
      </c>
      <c r="J75" s="51">
        <f t="shared" si="11"/>
        <v>39551.9</v>
      </c>
      <c r="K75" s="51">
        <f t="shared" si="11"/>
        <v>41119.199999999997</v>
      </c>
      <c r="L75" s="51">
        <f t="shared" si="11"/>
        <v>42737.1</v>
      </c>
      <c r="M75" s="51">
        <f>IF($A$23,"n.a.",ROUND(M74+(M72-M71)*0.75+(L72-L71)*0.25,1))</f>
        <v>44402.1</v>
      </c>
      <c r="N75" s="80"/>
      <c r="O75" s="80"/>
      <c r="P75" s="81"/>
      <c r="Q75" s="81"/>
      <c r="R75" s="81"/>
      <c r="S75" s="81"/>
      <c r="T75" s="81"/>
      <c r="U75" s="81"/>
      <c r="V75" s="81"/>
      <c r="W75" s="81"/>
      <c r="X75" s="81"/>
    </row>
    <row r="76" spans="1:24" s="79" customFormat="1" ht="15" customHeight="1">
      <c r="A76" s="64" t="s">
        <v>72</v>
      </c>
      <c r="B76" s="84"/>
      <c r="C76" s="77"/>
      <c r="D76" s="77"/>
      <c r="E76" s="77"/>
      <c r="F76" s="77"/>
      <c r="G76" s="77"/>
      <c r="H76" s="77"/>
      <c r="I76" s="77"/>
      <c r="J76" s="77"/>
      <c r="K76" s="77"/>
      <c r="L76" s="77"/>
      <c r="M76" s="77"/>
      <c r="N76" s="78"/>
      <c r="O76" s="78"/>
      <c r="P76" s="22"/>
      <c r="Q76" s="22"/>
      <c r="R76" s="22"/>
      <c r="S76" s="22"/>
      <c r="T76" s="22"/>
      <c r="U76" s="22"/>
      <c r="V76" s="22"/>
      <c r="W76" s="22"/>
      <c r="X76" s="22"/>
    </row>
    <row r="77" spans="1:24" s="28" customFormat="1" ht="15" customHeight="1">
      <c r="A77" s="37" t="s">
        <v>92</v>
      </c>
      <c r="B77" s="198">
        <v>168.24299999999999</v>
      </c>
      <c r="C77" s="198">
        <v>170.66200000000001</v>
      </c>
      <c r="D77" s="198">
        <v>173.375</v>
      </c>
      <c r="E77" s="198">
        <v>174.006</v>
      </c>
      <c r="F77" s="198">
        <v>174.614</v>
      </c>
      <c r="G77" s="198">
        <v>175.29499999999999</v>
      </c>
      <c r="H77" s="198">
        <v>176.03</v>
      </c>
      <c r="I77" s="198">
        <v>176.80099999999999</v>
      </c>
      <c r="J77" s="198">
        <v>177.55799999999999</v>
      </c>
      <c r="K77" s="198">
        <v>178.17599999999999</v>
      </c>
      <c r="L77" s="198">
        <v>178.79499999999999</v>
      </c>
      <c r="M77" s="198">
        <v>179.386</v>
      </c>
      <c r="N77" s="80"/>
      <c r="O77" s="80"/>
      <c r="P77" s="81"/>
      <c r="Q77" s="81"/>
      <c r="R77" s="81"/>
      <c r="S77" s="81"/>
      <c r="T77" s="81"/>
      <c r="U77" s="81"/>
      <c r="V77" s="81"/>
      <c r="W77" s="81"/>
      <c r="X77" s="81"/>
    </row>
    <row r="78" spans="1:24" s="28" customFormat="1" ht="15" customHeight="1">
      <c r="A78" s="39" t="s">
        <v>21</v>
      </c>
      <c r="B78" s="82">
        <f>IF($A$23,"n.a.",B77)</f>
        <v>168.24299999999999</v>
      </c>
      <c r="C78" s="82">
        <f>IF($A$23,"n.a.",C77)</f>
        <v>170.66200000000001</v>
      </c>
      <c r="D78" s="82">
        <f t="shared" ref="D78:L78" si="12">IF($A$23,"n.a.",D77)</f>
        <v>173.375</v>
      </c>
      <c r="E78" s="82">
        <f t="shared" si="12"/>
        <v>174.006</v>
      </c>
      <c r="F78" s="82">
        <f t="shared" si="12"/>
        <v>174.614</v>
      </c>
      <c r="G78" s="82">
        <f t="shared" si="12"/>
        <v>175.29499999999999</v>
      </c>
      <c r="H78" s="82">
        <f t="shared" si="12"/>
        <v>176.03</v>
      </c>
      <c r="I78" s="82">
        <f t="shared" si="12"/>
        <v>176.80099999999999</v>
      </c>
      <c r="J78" s="82">
        <f t="shared" si="12"/>
        <v>177.55799999999999</v>
      </c>
      <c r="K78" s="82">
        <f t="shared" si="12"/>
        <v>178.17599999999999</v>
      </c>
      <c r="L78" s="82">
        <f t="shared" si="12"/>
        <v>178.79499999999999</v>
      </c>
      <c r="M78" s="82">
        <f>IF($A$23,"n.a.",M77)</f>
        <v>179.386</v>
      </c>
      <c r="N78" s="80"/>
      <c r="O78" s="80"/>
      <c r="P78" s="81"/>
      <c r="Q78" s="81"/>
      <c r="R78" s="81"/>
      <c r="S78" s="81"/>
      <c r="T78" s="81"/>
      <c r="U78" s="81"/>
      <c r="V78" s="81"/>
      <c r="W78" s="81"/>
      <c r="X78" s="81"/>
    </row>
    <row r="79" spans="1:24" s="79" customFormat="1" ht="15" customHeight="1">
      <c r="A79" s="64" t="s">
        <v>73</v>
      </c>
      <c r="B79" s="84"/>
      <c r="C79" s="77"/>
      <c r="D79" s="77"/>
      <c r="E79" s="77"/>
      <c r="F79" s="77"/>
      <c r="G79" s="77"/>
      <c r="H79" s="77"/>
      <c r="I79" s="77"/>
      <c r="J79" s="77"/>
      <c r="K79" s="77"/>
      <c r="L79" s="77"/>
      <c r="M79" s="77"/>
      <c r="N79" s="78"/>
      <c r="O79" s="78"/>
      <c r="P79" s="22"/>
      <c r="Q79" s="22"/>
      <c r="R79" s="22"/>
      <c r="S79" s="22"/>
      <c r="T79" s="22"/>
      <c r="U79" s="22"/>
      <c r="V79" s="22"/>
      <c r="W79" s="22"/>
      <c r="X79" s="22"/>
    </row>
    <row r="80" spans="1:24" s="28" customFormat="1" ht="15" customHeight="1">
      <c r="A80" s="37" t="s">
        <v>92</v>
      </c>
      <c r="B80" s="196">
        <v>4.1879999999999997</v>
      </c>
      <c r="C80" s="196">
        <v>4.093</v>
      </c>
      <c r="D80" s="196">
        <v>3.9350000000000001</v>
      </c>
      <c r="E80" s="196">
        <v>3.9140000000000001</v>
      </c>
      <c r="F80" s="196">
        <v>3.8940000000000001</v>
      </c>
      <c r="G80" s="196">
        <v>3.871</v>
      </c>
      <c r="H80" s="196">
        <v>3.85</v>
      </c>
      <c r="I80" s="196">
        <v>3.8359999999999999</v>
      </c>
      <c r="J80" s="196">
        <v>3.8260000000000001</v>
      </c>
      <c r="K80" s="196">
        <v>3.8149999999999999</v>
      </c>
      <c r="L80" s="196">
        <v>3.7970000000000002</v>
      </c>
      <c r="M80" s="196">
        <v>3.7719999999999998</v>
      </c>
      <c r="N80" s="80"/>
      <c r="O80" s="80"/>
      <c r="P80" s="81"/>
      <c r="Q80" s="81"/>
      <c r="R80" s="81"/>
      <c r="S80" s="81"/>
      <c r="T80" s="81"/>
      <c r="U80" s="81"/>
      <c r="V80" s="81"/>
      <c r="W80" s="81"/>
      <c r="X80" s="81"/>
    </row>
    <row r="81" spans="1:24" s="28" customFormat="1" ht="15" customHeight="1">
      <c r="A81" s="39" t="s">
        <v>21</v>
      </c>
      <c r="B81" s="86">
        <f>IF($A$23,"n.a.",B80)</f>
        <v>4.1879999999999997</v>
      </c>
      <c r="C81" s="87">
        <f>IF($A$23,"n.a.",ROUND(C80+C14,3))</f>
        <v>4.1929999999999996</v>
      </c>
      <c r="D81" s="87">
        <f t="shared" ref="D81:L81" si="13">IF($A$23,"n.a.",ROUND(D80+D14,3))</f>
        <v>4.0350000000000001</v>
      </c>
      <c r="E81" s="87">
        <f t="shared" si="13"/>
        <v>4.0140000000000002</v>
      </c>
      <c r="F81" s="87">
        <f t="shared" si="13"/>
        <v>3.9940000000000002</v>
      </c>
      <c r="G81" s="87">
        <f t="shared" si="13"/>
        <v>3.9710000000000001</v>
      </c>
      <c r="H81" s="87">
        <f t="shared" si="13"/>
        <v>3.95</v>
      </c>
      <c r="I81" s="87">
        <f t="shared" si="13"/>
        <v>3.9359999999999999</v>
      </c>
      <c r="J81" s="87">
        <f t="shared" si="13"/>
        <v>3.9260000000000002</v>
      </c>
      <c r="K81" s="87">
        <f t="shared" si="13"/>
        <v>3.915</v>
      </c>
      <c r="L81" s="87">
        <f t="shared" si="13"/>
        <v>3.8969999999999998</v>
      </c>
      <c r="M81" s="87">
        <f>IF($A$23,"n.a.",ROUND(M80+M14,3))</f>
        <v>3.8719999999999999</v>
      </c>
      <c r="N81" s="80"/>
      <c r="O81" s="80"/>
      <c r="P81" s="81"/>
      <c r="Q81" s="81"/>
      <c r="R81" s="81"/>
      <c r="S81" s="81"/>
      <c r="T81" s="81"/>
      <c r="U81" s="81"/>
      <c r="V81" s="81"/>
      <c r="W81" s="81"/>
      <c r="X81" s="81"/>
    </row>
    <row r="82" spans="1:24" s="79" customFormat="1" ht="15" customHeight="1">
      <c r="A82" s="64" t="s">
        <v>74</v>
      </c>
      <c r="B82" s="84"/>
      <c r="C82" s="88"/>
      <c r="D82" s="88"/>
      <c r="E82" s="88"/>
      <c r="F82" s="88"/>
      <c r="G82" s="88"/>
      <c r="H82" s="88"/>
      <c r="I82" s="88"/>
      <c r="J82" s="88"/>
      <c r="K82" s="88"/>
      <c r="L82" s="88"/>
      <c r="M82" s="88"/>
      <c r="N82" s="78"/>
      <c r="O82" s="78"/>
      <c r="P82" s="22"/>
      <c r="Q82" s="22"/>
      <c r="R82" s="22"/>
      <c r="S82" s="22"/>
      <c r="T82" s="22"/>
      <c r="U82" s="22"/>
      <c r="V82" s="22"/>
      <c r="W82" s="22"/>
      <c r="X82" s="22"/>
    </row>
    <row r="83" spans="1:24" s="28" customFormat="1" ht="15" customHeight="1">
      <c r="A83" s="37" t="s">
        <v>92</v>
      </c>
      <c r="B83" s="198">
        <v>2.4129999999999998</v>
      </c>
      <c r="C83" s="198">
        <v>2.198</v>
      </c>
      <c r="D83" s="198">
        <v>2.0750000000000002</v>
      </c>
      <c r="E83" s="198">
        <v>1.9950000000000001</v>
      </c>
      <c r="F83" s="198">
        <v>1.988</v>
      </c>
      <c r="G83" s="198">
        <v>1.992</v>
      </c>
      <c r="H83" s="198">
        <v>1.9870000000000001</v>
      </c>
      <c r="I83" s="198">
        <v>1.986</v>
      </c>
      <c r="J83" s="198">
        <v>1.9870000000000001</v>
      </c>
      <c r="K83" s="198">
        <v>1.9910000000000001</v>
      </c>
      <c r="L83" s="198">
        <v>1.9890000000000001</v>
      </c>
      <c r="M83" s="198">
        <v>1.99</v>
      </c>
      <c r="N83" s="80"/>
      <c r="O83" s="80"/>
      <c r="P83" s="81"/>
      <c r="Q83" s="81"/>
      <c r="R83" s="81"/>
      <c r="S83" s="81"/>
      <c r="T83" s="81"/>
      <c r="U83" s="81"/>
      <c r="V83" s="81"/>
      <c r="W83" s="81"/>
      <c r="X83" s="81"/>
    </row>
    <row r="84" spans="1:24" s="28" customFormat="1" ht="15" customHeight="1">
      <c r="A84" s="39" t="s">
        <v>21</v>
      </c>
      <c r="B84" s="82">
        <f>IF($A$23,"n.a.",B83)</f>
        <v>2.4129999999999998</v>
      </c>
      <c r="C84" s="82">
        <f t="shared" ref="C84:L84" si="14">IF($A$23,"n.a.",ROUND(C83+C13,3))</f>
        <v>2.298</v>
      </c>
      <c r="D84" s="82">
        <f t="shared" si="14"/>
        <v>2.1749999999999998</v>
      </c>
      <c r="E84" s="82">
        <f t="shared" si="14"/>
        <v>2.0950000000000002</v>
      </c>
      <c r="F84" s="82">
        <f t="shared" si="14"/>
        <v>2.0880000000000001</v>
      </c>
      <c r="G84" s="82">
        <f t="shared" si="14"/>
        <v>2.0920000000000001</v>
      </c>
      <c r="H84" s="82">
        <f t="shared" si="14"/>
        <v>2.0870000000000002</v>
      </c>
      <c r="I84" s="82">
        <f t="shared" si="14"/>
        <v>2.0859999999999999</v>
      </c>
      <c r="J84" s="82">
        <f t="shared" si="14"/>
        <v>2.0870000000000002</v>
      </c>
      <c r="K84" s="82">
        <f t="shared" si="14"/>
        <v>2.0910000000000002</v>
      </c>
      <c r="L84" s="82">
        <f t="shared" si="14"/>
        <v>2.089</v>
      </c>
      <c r="M84" s="82">
        <f>IF($A$23,"n.a.",ROUND(M83+M13,3))</f>
        <v>2.09</v>
      </c>
      <c r="N84" s="80"/>
      <c r="O84" s="80"/>
    </row>
    <row r="85" spans="1:24" s="79" customFormat="1" ht="15" customHeight="1">
      <c r="A85" s="64" t="s">
        <v>75</v>
      </c>
      <c r="B85" s="84"/>
      <c r="C85" s="88"/>
      <c r="D85" s="88"/>
      <c r="E85" s="88"/>
      <c r="F85" s="88"/>
      <c r="G85" s="88"/>
      <c r="H85" s="88"/>
      <c r="I85" s="88"/>
      <c r="J85" s="88"/>
      <c r="K85" s="88"/>
      <c r="L85" s="88"/>
      <c r="M85" s="88"/>
      <c r="N85" s="78"/>
      <c r="O85" s="78"/>
    </row>
    <row r="86" spans="1:24" s="28" customFormat="1" ht="15" customHeight="1">
      <c r="A86" s="37" t="s">
        <v>92</v>
      </c>
      <c r="B86" s="198">
        <v>125.223</v>
      </c>
      <c r="C86" s="198">
        <v>127.976</v>
      </c>
      <c r="D86" s="198">
        <v>130.631</v>
      </c>
      <c r="E86" s="198">
        <v>133.238</v>
      </c>
      <c r="F86" s="198">
        <v>135.887</v>
      </c>
      <c r="G86" s="198">
        <v>138.595</v>
      </c>
      <c r="H86" s="198">
        <v>141.34899999999999</v>
      </c>
      <c r="I86" s="198">
        <v>144.15700000000001</v>
      </c>
      <c r="J86" s="198">
        <v>147.023</v>
      </c>
      <c r="K86" s="198">
        <v>149.94999999999999</v>
      </c>
      <c r="L86" s="198">
        <v>152.934</v>
      </c>
      <c r="M86" s="198">
        <v>155.97900000000001</v>
      </c>
      <c r="N86" s="80"/>
      <c r="O86" s="80"/>
    </row>
    <row r="87" spans="1:24" s="28" customFormat="1" ht="15" customHeight="1">
      <c r="A87" s="39" t="s">
        <v>21</v>
      </c>
      <c r="B87" s="82">
        <f>IF($A$23,"n.a.",B86)</f>
        <v>125.223</v>
      </c>
      <c r="C87" s="82">
        <f t="shared" ref="C87:L87" si="15">IF($A$23,"n.a.",ROUND((C86/B86+C13/100)*B87,3))</f>
        <v>128.101</v>
      </c>
      <c r="D87" s="82">
        <f t="shared" si="15"/>
        <v>130.887</v>
      </c>
      <c r="E87" s="82">
        <f t="shared" si="15"/>
        <v>133.63</v>
      </c>
      <c r="F87" s="82">
        <f t="shared" si="15"/>
        <v>136.41999999999999</v>
      </c>
      <c r="G87" s="82">
        <f t="shared" si="15"/>
        <v>139.27500000000001</v>
      </c>
      <c r="H87" s="82">
        <f t="shared" si="15"/>
        <v>142.18199999999999</v>
      </c>
      <c r="I87" s="82">
        <f t="shared" si="15"/>
        <v>145.149</v>
      </c>
      <c r="J87" s="82">
        <f t="shared" si="15"/>
        <v>148.18</v>
      </c>
      <c r="K87" s="82">
        <f t="shared" si="15"/>
        <v>151.27799999999999</v>
      </c>
      <c r="L87" s="82">
        <f t="shared" si="15"/>
        <v>154.44</v>
      </c>
      <c r="M87" s="82">
        <f>IF($A$23,"n.a.",ROUND((M86/L86+M13/100)*L87,3))</f>
        <v>157.66900000000001</v>
      </c>
      <c r="N87" s="80"/>
      <c r="O87" s="80"/>
    </row>
    <row r="88" spans="1:24" s="79" customFormat="1" ht="15" customHeight="1">
      <c r="A88" s="64" t="s">
        <v>76</v>
      </c>
      <c r="B88" s="84"/>
      <c r="C88" s="88"/>
      <c r="D88" s="88"/>
      <c r="E88" s="88"/>
      <c r="F88" s="88"/>
      <c r="G88" s="88"/>
      <c r="H88" s="88"/>
      <c r="I88" s="88"/>
      <c r="J88" s="88"/>
      <c r="K88" s="88"/>
      <c r="L88" s="88"/>
      <c r="M88" s="88"/>
      <c r="N88" s="78"/>
      <c r="O88" s="78"/>
    </row>
    <row r="89" spans="1:24" s="28" customFormat="1" ht="15" customHeight="1">
      <c r="A89" s="37" t="s">
        <v>92</v>
      </c>
      <c r="B89" s="198">
        <v>168.291</v>
      </c>
      <c r="C89" s="198">
        <v>174.15600000000001</v>
      </c>
      <c r="D89" s="198">
        <v>180</v>
      </c>
      <c r="E89" s="198">
        <v>185.768</v>
      </c>
      <c r="F89" s="198">
        <v>191.52600000000001</v>
      </c>
      <c r="G89" s="198">
        <v>197.32499999999999</v>
      </c>
      <c r="H89" s="198">
        <v>203.21299999999999</v>
      </c>
      <c r="I89" s="198">
        <v>209.221</v>
      </c>
      <c r="J89" s="198">
        <v>215.381</v>
      </c>
      <c r="K89" s="198">
        <v>221.71600000000001</v>
      </c>
      <c r="L89" s="198">
        <v>228.22499999999999</v>
      </c>
      <c r="M89" s="198">
        <v>234.91</v>
      </c>
      <c r="N89" s="80"/>
      <c r="O89" s="80"/>
    </row>
    <row r="90" spans="1:24" s="28" customFormat="1" ht="15" customHeight="1">
      <c r="A90" s="39" t="s">
        <v>21</v>
      </c>
      <c r="B90" s="82">
        <f>IF($A$23,"n.a.",B89)</f>
        <v>168.291</v>
      </c>
      <c r="C90" s="82">
        <f>IF($A$23,"n.a.",ROUND((C89/B89+C13/100)*B90,3))</f>
        <v>174.32400000000001</v>
      </c>
      <c r="D90" s="82">
        <f t="shared" ref="D90:L90" si="16">IF($A$23,"n.a.",ROUND((D89/C89+D13/100)*C90,3))</f>
        <v>180.34800000000001</v>
      </c>
      <c r="E90" s="82">
        <f t="shared" si="16"/>
        <v>186.30699999999999</v>
      </c>
      <c r="F90" s="82">
        <f t="shared" si="16"/>
        <v>192.268</v>
      </c>
      <c r="G90" s="82">
        <f t="shared" si="16"/>
        <v>198.28200000000001</v>
      </c>
      <c r="H90" s="82">
        <f t="shared" si="16"/>
        <v>204.39699999999999</v>
      </c>
      <c r="I90" s="82">
        <f t="shared" si="16"/>
        <v>210.64400000000001</v>
      </c>
      <c r="J90" s="82">
        <f t="shared" si="16"/>
        <v>217.05699999999999</v>
      </c>
      <c r="K90" s="82">
        <f t="shared" si="16"/>
        <v>223.65799999999999</v>
      </c>
      <c r="L90" s="82">
        <f t="shared" si="16"/>
        <v>230.44800000000001</v>
      </c>
      <c r="M90" s="82">
        <f>IF($A$23,"n.a.",ROUND((M89/L89+M13/100)*L90,3))</f>
        <v>237.429</v>
      </c>
      <c r="N90" s="80"/>
      <c r="O90" s="80"/>
      <c r="Q90" s="90"/>
    </row>
    <row r="91" spans="1:24" s="73" customFormat="1" ht="15" customHeight="1">
      <c r="A91" s="41"/>
      <c r="B91" s="91"/>
      <c r="C91" s="91"/>
      <c r="D91" s="91"/>
      <c r="E91" s="91"/>
      <c r="F91" s="91"/>
      <c r="G91" s="91"/>
      <c r="H91" s="91"/>
      <c r="I91" s="91"/>
      <c r="J91" s="91"/>
      <c r="K91" s="91"/>
      <c r="L91" s="92"/>
      <c r="M91" s="92"/>
    </row>
    <row r="92" spans="1:24" ht="15" customHeight="1">
      <c r="A92" s="93"/>
      <c r="B92" s="54"/>
      <c r="C92" s="54"/>
      <c r="D92" s="54"/>
      <c r="E92" s="54"/>
      <c r="F92" s="54"/>
      <c r="G92" s="54"/>
      <c r="H92" s="54"/>
      <c r="I92" s="54"/>
      <c r="J92" s="54"/>
      <c r="K92" s="54"/>
      <c r="L92" s="54"/>
      <c r="M92" s="54"/>
      <c r="N92" s="94"/>
      <c r="O92" s="94"/>
    </row>
    <row r="93" spans="1:24" s="63" customFormat="1" ht="15" customHeight="1">
      <c r="A93" s="217" t="s">
        <v>32</v>
      </c>
      <c r="B93" s="217"/>
      <c r="C93" s="217"/>
      <c r="D93" s="217"/>
      <c r="E93" s="217"/>
      <c r="F93" s="217"/>
      <c r="G93" s="217"/>
      <c r="H93" s="217"/>
      <c r="I93" s="217"/>
      <c r="J93" s="217"/>
      <c r="K93" s="217"/>
      <c r="L93" s="217"/>
      <c r="M93" s="217"/>
      <c r="N93" s="95"/>
      <c r="O93" s="95"/>
    </row>
    <row r="94" spans="1:24" s="63" customFormat="1" ht="16.5" customHeight="1">
      <c r="A94" s="170"/>
      <c r="B94" s="170"/>
      <c r="C94" s="170"/>
      <c r="D94" s="170"/>
      <c r="E94" s="170"/>
      <c r="F94" s="170"/>
      <c r="G94" s="170"/>
      <c r="H94" s="170"/>
      <c r="I94" s="170"/>
      <c r="J94" s="170"/>
      <c r="K94" s="170"/>
      <c r="L94" s="170"/>
      <c r="M94" s="170"/>
      <c r="N94" s="95"/>
      <c r="O94" s="95"/>
    </row>
    <row r="95" spans="1:24" ht="16.5" customHeight="1">
      <c r="A95" s="216" t="s">
        <v>24</v>
      </c>
      <c r="B95" s="216"/>
      <c r="C95" s="216"/>
      <c r="D95" s="216"/>
      <c r="E95" s="216"/>
      <c r="F95" s="216"/>
      <c r="G95" s="216"/>
      <c r="H95" s="216"/>
      <c r="I95" s="216"/>
      <c r="J95" s="216"/>
      <c r="K95" s="216"/>
      <c r="L95" s="216"/>
      <c r="M95" s="216"/>
      <c r="N95" s="96"/>
      <c r="O95" s="96"/>
    </row>
    <row r="96" spans="1:24" ht="15" customHeight="1">
      <c r="A96" s="207"/>
      <c r="B96" s="207"/>
      <c r="C96" s="207"/>
      <c r="D96" s="207"/>
      <c r="E96" s="207"/>
      <c r="F96" s="207"/>
      <c r="G96" s="207"/>
      <c r="H96" s="207"/>
      <c r="I96" s="207"/>
      <c r="J96" s="207"/>
      <c r="K96" s="207"/>
      <c r="L96" s="207"/>
      <c r="M96" s="207"/>
      <c r="N96" s="94"/>
      <c r="O96" s="94"/>
    </row>
    <row r="97" spans="1:15" ht="15" customHeight="1">
      <c r="A97" s="216" t="s">
        <v>114</v>
      </c>
      <c r="B97" s="216"/>
      <c r="C97" s="216"/>
      <c r="D97" s="216"/>
      <c r="E97" s="216"/>
      <c r="F97" s="216"/>
      <c r="G97" s="216"/>
      <c r="H97" s="216"/>
      <c r="I97" s="216"/>
      <c r="J97" s="216"/>
      <c r="K97" s="216"/>
      <c r="L97" s="216"/>
      <c r="M97" s="216"/>
      <c r="N97" s="93"/>
      <c r="O97" s="93"/>
    </row>
    <row r="98" spans="1:15" ht="15" customHeight="1">
      <c r="A98" s="93"/>
      <c r="B98" s="54"/>
      <c r="C98" s="54"/>
      <c r="D98" s="54"/>
      <c r="E98" s="54"/>
      <c r="F98" s="54"/>
      <c r="G98" s="54"/>
      <c r="H98" s="54"/>
      <c r="I98" s="54"/>
      <c r="J98" s="54"/>
      <c r="K98" s="54"/>
      <c r="L98" s="54"/>
      <c r="M98" s="54"/>
      <c r="N98" s="94"/>
      <c r="O98" s="94"/>
    </row>
    <row r="99" spans="1:15" ht="15" customHeight="1">
      <c r="A99" s="212" t="s">
        <v>25</v>
      </c>
      <c r="B99" s="212"/>
      <c r="C99" s="212"/>
      <c r="D99" s="212"/>
      <c r="E99" s="212"/>
      <c r="F99" s="212"/>
      <c r="G99" s="212"/>
      <c r="H99" s="212"/>
      <c r="I99" s="212"/>
      <c r="J99" s="212"/>
      <c r="K99" s="212"/>
      <c r="L99" s="212"/>
      <c r="M99" s="212"/>
      <c r="N99" s="93"/>
      <c r="O99" s="93"/>
    </row>
    <row r="100" spans="1:15" s="28" customFormat="1" ht="13.5" customHeight="1">
      <c r="A100" s="168"/>
      <c r="B100" s="168"/>
      <c r="C100" s="168"/>
      <c r="D100" s="168"/>
      <c r="E100" s="168"/>
      <c r="F100" s="168"/>
      <c r="G100" s="168"/>
      <c r="H100" s="168"/>
      <c r="I100" s="168"/>
      <c r="J100" s="168"/>
      <c r="K100" s="168"/>
      <c r="L100" s="168"/>
      <c r="M100" s="168"/>
      <c r="N100" s="99"/>
      <c r="O100" s="99"/>
    </row>
    <row r="101" spans="1:15" ht="15" customHeight="1">
      <c r="A101" s="212" t="s">
        <v>20</v>
      </c>
      <c r="B101" s="212"/>
      <c r="C101" s="212"/>
      <c r="D101" s="212"/>
      <c r="E101" s="212"/>
      <c r="F101" s="212"/>
      <c r="G101" s="212"/>
      <c r="H101" s="212"/>
      <c r="I101" s="212"/>
      <c r="J101" s="212"/>
      <c r="K101" s="212"/>
      <c r="L101" s="212"/>
      <c r="M101" s="212"/>
      <c r="N101" s="93"/>
      <c r="O101" s="93"/>
    </row>
    <row r="102" spans="1:15" s="28" customFormat="1" ht="13.5" customHeight="1">
      <c r="A102" s="168"/>
      <c r="B102" s="168"/>
      <c r="C102" s="168"/>
      <c r="D102" s="168"/>
      <c r="E102" s="168"/>
      <c r="F102" s="168"/>
      <c r="G102" s="168"/>
      <c r="H102" s="168"/>
      <c r="I102" s="168"/>
      <c r="J102" s="168"/>
      <c r="K102" s="168"/>
      <c r="L102" s="168"/>
      <c r="M102" s="168"/>
      <c r="N102" s="99"/>
      <c r="O102" s="99"/>
    </row>
    <row r="103" spans="1:15" ht="30.75" customHeight="1">
      <c r="A103" s="216" t="s">
        <v>89</v>
      </c>
      <c r="B103" s="216"/>
      <c r="C103" s="216"/>
      <c r="D103" s="216"/>
      <c r="E103" s="216"/>
      <c r="F103" s="216"/>
      <c r="G103" s="216"/>
      <c r="H103" s="216"/>
      <c r="I103" s="216"/>
      <c r="J103" s="216"/>
      <c r="K103" s="216"/>
      <c r="L103" s="216"/>
      <c r="M103" s="216"/>
      <c r="N103" s="98"/>
      <c r="O103" s="98"/>
    </row>
    <row r="104" spans="1:15" ht="15" customHeight="1">
      <c r="A104" s="93"/>
      <c r="B104" s="97"/>
      <c r="C104" s="97"/>
      <c r="D104" s="97"/>
      <c r="E104" s="97"/>
      <c r="F104" s="97"/>
      <c r="G104" s="97"/>
      <c r="H104" s="97"/>
      <c r="I104" s="97"/>
      <c r="J104" s="97"/>
      <c r="K104" s="97"/>
      <c r="L104" s="97"/>
      <c r="M104" s="97"/>
      <c r="N104" s="98"/>
      <c r="O104" s="98"/>
    </row>
    <row r="105" spans="1:15" ht="15" customHeight="1">
      <c r="A105" s="212" t="s">
        <v>90</v>
      </c>
      <c r="B105" s="212"/>
      <c r="C105" s="212"/>
      <c r="D105" s="212"/>
      <c r="E105" s="212"/>
      <c r="F105" s="212"/>
      <c r="G105" s="212"/>
      <c r="H105" s="212"/>
      <c r="I105" s="212"/>
      <c r="J105" s="212"/>
      <c r="K105" s="212"/>
      <c r="L105" s="212"/>
      <c r="M105" s="212"/>
      <c r="N105" s="98"/>
      <c r="O105" s="98"/>
    </row>
    <row r="106" spans="1:15" ht="15" customHeight="1">
      <c r="A106" s="168"/>
      <c r="B106" s="168"/>
      <c r="C106" s="168"/>
      <c r="D106" s="168"/>
      <c r="E106" s="168"/>
      <c r="F106" s="168"/>
      <c r="G106" s="168"/>
      <c r="H106" s="168"/>
      <c r="I106" s="168"/>
      <c r="J106" s="168"/>
      <c r="K106" s="168"/>
      <c r="L106" s="168"/>
      <c r="M106" s="168"/>
      <c r="N106" s="98"/>
      <c r="O106" s="98"/>
    </row>
    <row r="107" spans="1:15" ht="15" customHeight="1">
      <c r="A107" s="212" t="s">
        <v>53</v>
      </c>
      <c r="B107" s="212"/>
      <c r="C107" s="212"/>
      <c r="D107" s="212"/>
      <c r="E107" s="212"/>
      <c r="F107" s="212"/>
      <c r="G107" s="212"/>
      <c r="H107" s="212"/>
      <c r="I107" s="212"/>
      <c r="J107" s="212"/>
      <c r="K107" s="212"/>
      <c r="L107" s="212"/>
      <c r="M107" s="212"/>
      <c r="N107" s="98"/>
      <c r="O107" s="98"/>
    </row>
    <row r="108" spans="1:15" ht="15" customHeight="1">
      <c r="A108" s="93"/>
      <c r="B108" s="97"/>
      <c r="C108" s="97"/>
      <c r="D108" s="97"/>
      <c r="E108" s="97"/>
      <c r="F108" s="97"/>
      <c r="G108" s="97"/>
      <c r="H108" s="97"/>
      <c r="I108" s="97"/>
      <c r="J108" s="97"/>
      <c r="K108" s="97"/>
      <c r="L108" s="97"/>
      <c r="M108" s="97"/>
      <c r="N108" s="98"/>
      <c r="O108" s="98"/>
    </row>
    <row r="109" spans="1:15" ht="15" customHeight="1">
      <c r="A109" s="212" t="s">
        <v>14</v>
      </c>
      <c r="B109" s="212"/>
      <c r="C109" s="212"/>
      <c r="D109" s="212"/>
      <c r="E109" s="212"/>
      <c r="F109" s="212"/>
      <c r="G109" s="212"/>
      <c r="H109" s="212"/>
      <c r="I109" s="212"/>
      <c r="J109" s="212"/>
      <c r="K109" s="212"/>
      <c r="L109" s="212"/>
      <c r="M109" s="212"/>
      <c r="N109" s="98"/>
      <c r="O109" s="98"/>
    </row>
    <row r="110" spans="1:15" ht="15" customHeight="1">
      <c r="A110" s="100"/>
      <c r="B110" s="101"/>
      <c r="C110" s="101"/>
      <c r="D110" s="101"/>
      <c r="E110" s="101"/>
      <c r="F110" s="101"/>
      <c r="G110" s="101"/>
      <c r="H110" s="101"/>
      <c r="I110" s="101"/>
      <c r="J110" s="101"/>
      <c r="K110" s="101"/>
      <c r="L110" s="101"/>
      <c r="M110" s="101"/>
      <c r="N110" s="98"/>
      <c r="O110" s="98"/>
    </row>
    <row r="111" spans="1:15" ht="15" hidden="1" customHeight="1">
      <c r="A111" s="93"/>
      <c r="B111" s="97"/>
      <c r="C111" s="97"/>
      <c r="D111" s="97"/>
      <c r="E111" s="97"/>
      <c r="F111" s="97"/>
      <c r="G111" s="97"/>
      <c r="H111" s="97"/>
      <c r="I111" s="97"/>
      <c r="J111" s="97"/>
      <c r="K111" s="97"/>
      <c r="L111" s="97"/>
      <c r="M111" s="97"/>
      <c r="N111" s="98"/>
      <c r="O111" s="98"/>
    </row>
    <row r="112" spans="1:15" s="179" customFormat="1" ht="15" hidden="1" customHeight="1">
      <c r="A112" s="177" t="s">
        <v>26</v>
      </c>
      <c r="B112" s="178"/>
      <c r="C112" s="178"/>
      <c r="D112" s="178"/>
      <c r="E112" s="178"/>
      <c r="F112" s="178"/>
      <c r="G112" s="178"/>
      <c r="H112" s="178"/>
      <c r="I112" s="178"/>
      <c r="J112" s="178"/>
      <c r="K112" s="178"/>
      <c r="L112" s="178"/>
      <c r="M112" s="178"/>
      <c r="N112" s="178"/>
      <c r="O112" s="178"/>
    </row>
    <row r="113" spans="1:13" ht="15" hidden="1" customHeight="1">
      <c r="A113" s="4" t="s">
        <v>28</v>
      </c>
      <c r="C113" s="98">
        <v>3.366015027243809</v>
      </c>
      <c r="D113" s="98">
        <v>7.1344265306031476</v>
      </c>
      <c r="E113" s="98">
        <v>3.9586523809465182</v>
      </c>
      <c r="F113" s="98">
        <v>3.178776186435289</v>
      </c>
      <c r="G113" s="98">
        <v>2.5683347547328519</v>
      </c>
      <c r="H113" s="98">
        <v>2.3651628693527158</v>
      </c>
      <c r="I113" s="98">
        <v>1.788458560221635</v>
      </c>
      <c r="J113" s="98">
        <v>1.627645365543678</v>
      </c>
      <c r="K113" s="98">
        <v>1.195117133695355</v>
      </c>
      <c r="L113" s="98">
        <v>1.169814291766897</v>
      </c>
      <c r="M113" s="98">
        <v>1.021558874309122</v>
      </c>
    </row>
    <row r="114" spans="1:13" ht="15" hidden="1" customHeight="1">
      <c r="C114" s="3">
        <v>0</v>
      </c>
      <c r="D114" s="3">
        <v>6.7408150218569638</v>
      </c>
      <c r="E114" s="3">
        <v>11.398475831464641</v>
      </c>
      <c r="F114" s="3">
        <v>6.475789920889035</v>
      </c>
      <c r="G114" s="3">
        <v>5.1867777640212216</v>
      </c>
      <c r="H114" s="3">
        <v>4.2336328703912054</v>
      </c>
      <c r="I114" s="3">
        <v>3.853422246582582</v>
      </c>
      <c r="J114" s="3">
        <v>2.9446207135234062</v>
      </c>
      <c r="K114" s="3">
        <v>2.648376905524223</v>
      </c>
      <c r="L114" s="3">
        <v>1.966775755729856</v>
      </c>
      <c r="M114" s="3">
        <v>1.93351823530169</v>
      </c>
    </row>
    <row r="115" spans="1:13" ht="15" hidden="1" customHeight="1">
      <c r="C115" s="3">
        <v>0</v>
      </c>
      <c r="D115" s="3">
        <v>0</v>
      </c>
      <c r="E115" s="3">
        <v>8.9312260896301652</v>
      </c>
      <c r="F115" s="3">
        <v>13.827503981659699</v>
      </c>
      <c r="G115" s="3">
        <v>7.907360524941879</v>
      </c>
      <c r="H115" s="3">
        <v>6.3282634542422471</v>
      </c>
      <c r="I115" s="3">
        <v>5.1828294268156299</v>
      </c>
      <c r="J115" s="3">
        <v>4.6984024365007997</v>
      </c>
      <c r="K115" s="3">
        <v>3.6037323561159842</v>
      </c>
      <c r="L115" s="3">
        <v>3.227721126619457</v>
      </c>
      <c r="M115" s="3">
        <v>2.4067185663308091</v>
      </c>
    </row>
    <row r="116" spans="1:13" ht="15" hidden="1" customHeight="1">
      <c r="C116" s="3">
        <v>0</v>
      </c>
      <c r="D116" s="3">
        <v>0</v>
      </c>
      <c r="E116" s="3">
        <v>0</v>
      </c>
      <c r="F116" s="3">
        <v>10.31152000787089</v>
      </c>
      <c r="G116" s="3">
        <v>15.482384420110749</v>
      </c>
      <c r="H116" s="3">
        <v>8.8817367022157185</v>
      </c>
      <c r="I116" s="3">
        <v>7.1062166399661919</v>
      </c>
      <c r="J116" s="3">
        <v>5.826228536707319</v>
      </c>
      <c r="K116" s="3">
        <v>5.2749082433202972</v>
      </c>
      <c r="L116" s="3">
        <v>4.050708474457835</v>
      </c>
      <c r="M116" s="3">
        <v>3.6232711708184548</v>
      </c>
    </row>
    <row r="117" spans="1:13" ht="15" hidden="1" customHeight="1">
      <c r="C117" s="3">
        <v>0</v>
      </c>
      <c r="D117" s="3">
        <v>0</v>
      </c>
      <c r="E117" s="3">
        <v>0</v>
      </c>
      <c r="F117" s="3">
        <v>0</v>
      </c>
      <c r="G117" s="3">
        <v>11.372027979699681</v>
      </c>
      <c r="H117" s="3">
        <v>16.979845553409401</v>
      </c>
      <c r="I117" s="3">
        <v>9.7360654095453683</v>
      </c>
      <c r="J117" s="3">
        <v>7.78924664558469</v>
      </c>
      <c r="K117" s="3">
        <v>6.3862092159709292</v>
      </c>
      <c r="L117" s="3">
        <v>5.7833796485253544</v>
      </c>
      <c r="M117" s="3">
        <v>4.4393904520102296</v>
      </c>
    </row>
    <row r="118" spans="1:13" ht="15" hidden="1" customHeight="1">
      <c r="C118" s="3">
        <v>0</v>
      </c>
      <c r="D118" s="3">
        <v>0</v>
      </c>
      <c r="E118" s="3">
        <v>0</v>
      </c>
      <c r="F118" s="3">
        <v>0</v>
      </c>
      <c r="G118" s="3">
        <v>0</v>
      </c>
      <c r="H118" s="3">
        <v>12.10861808037343</v>
      </c>
      <c r="I118" s="3">
        <v>17.4821221055069</v>
      </c>
      <c r="J118" s="3">
        <v>10.07471523382657</v>
      </c>
      <c r="K118" s="3">
        <v>8.0563480265603502</v>
      </c>
      <c r="L118" s="3">
        <v>6.617748396434223</v>
      </c>
      <c r="M118" s="3">
        <v>5.9799258464751261</v>
      </c>
    </row>
    <row r="119" spans="1:13" ht="15" hidden="1" customHeight="1">
      <c r="C119" s="3">
        <v>0</v>
      </c>
      <c r="D119" s="3">
        <v>0</v>
      </c>
      <c r="E119" s="3">
        <v>0</v>
      </c>
      <c r="F119" s="3">
        <v>0</v>
      </c>
      <c r="G119" s="3">
        <v>0</v>
      </c>
      <c r="H119" s="3">
        <v>0</v>
      </c>
      <c r="I119" s="3">
        <v>12.65214370644472</v>
      </c>
      <c r="J119" s="3">
        <v>18.31751139199233</v>
      </c>
      <c r="K119" s="3">
        <v>10.543613453073309</v>
      </c>
      <c r="L119" s="3">
        <v>8.4315410272753297</v>
      </c>
      <c r="M119" s="3">
        <v>6.9247686959833317</v>
      </c>
    </row>
    <row r="120" spans="1:13" ht="15" hidden="1" customHeight="1">
      <c r="C120" s="3">
        <v>0</v>
      </c>
      <c r="D120" s="3">
        <v>0</v>
      </c>
      <c r="E120" s="3">
        <v>0</v>
      </c>
      <c r="F120" s="3">
        <v>0</v>
      </c>
      <c r="G120" s="3">
        <v>0</v>
      </c>
      <c r="H120" s="3">
        <v>0</v>
      </c>
      <c r="I120" s="3">
        <v>0</v>
      </c>
      <c r="J120" s="3">
        <v>13.37845804952423</v>
      </c>
      <c r="K120" s="3">
        <v>19.216281128095059</v>
      </c>
      <c r="L120" s="3">
        <v>11.08354075238422</v>
      </c>
      <c r="M120" s="3">
        <v>8.8619165520169645</v>
      </c>
    </row>
    <row r="121" spans="1:13" ht="15" hidden="1" customHeight="1">
      <c r="C121" s="3">
        <v>0</v>
      </c>
      <c r="D121" s="3">
        <v>0</v>
      </c>
      <c r="E121" s="3">
        <v>0</v>
      </c>
      <c r="F121" s="3">
        <v>0</v>
      </c>
      <c r="G121" s="3">
        <v>0</v>
      </c>
      <c r="H121" s="3">
        <v>0</v>
      </c>
      <c r="I121" s="3">
        <v>0</v>
      </c>
      <c r="J121" s="3">
        <v>0</v>
      </c>
      <c r="K121" s="3">
        <v>13.830169623096539</v>
      </c>
      <c r="L121" s="3">
        <v>19.655189473137099</v>
      </c>
      <c r="M121" s="3">
        <v>11.34740897219201</v>
      </c>
    </row>
    <row r="122" spans="1:13" ht="15" hidden="1" customHeight="1">
      <c r="C122" s="3">
        <v>0</v>
      </c>
      <c r="D122" s="3">
        <v>0</v>
      </c>
      <c r="E122" s="3">
        <v>0</v>
      </c>
      <c r="F122" s="3">
        <v>0</v>
      </c>
      <c r="G122" s="3">
        <v>0</v>
      </c>
      <c r="H122" s="3">
        <v>0</v>
      </c>
      <c r="I122" s="3">
        <v>0</v>
      </c>
      <c r="J122" s="3">
        <v>0</v>
      </c>
      <c r="K122" s="3">
        <v>0</v>
      </c>
      <c r="L122" s="3">
        <v>14.308147870500321</v>
      </c>
      <c r="M122" s="3">
        <v>20.263672524669769</v>
      </c>
    </row>
    <row r="123" spans="1:13" ht="15" hidden="1" customHeight="1">
      <c r="C123" s="3">
        <v>0</v>
      </c>
      <c r="D123" s="3">
        <v>0</v>
      </c>
      <c r="E123" s="3">
        <v>0</v>
      </c>
      <c r="F123" s="3">
        <v>0</v>
      </c>
      <c r="G123" s="3">
        <v>0</v>
      </c>
      <c r="H123" s="3">
        <v>0</v>
      </c>
      <c r="I123" s="3">
        <v>0</v>
      </c>
      <c r="J123" s="3">
        <v>0</v>
      </c>
      <c r="K123" s="3">
        <v>0</v>
      </c>
      <c r="L123" s="3">
        <v>0</v>
      </c>
      <c r="M123" s="3">
        <v>15.00035342917278</v>
      </c>
    </row>
    <row r="124" spans="1:13" ht="15" hidden="1" customHeight="1"/>
    <row r="125" spans="1:13" ht="15" hidden="1" customHeight="1">
      <c r="A125" s="4" t="s">
        <v>27</v>
      </c>
      <c r="C125" s="3">
        <v>38.674376191598043</v>
      </c>
      <c r="D125" s="3">
        <v>39.527789812052355</v>
      </c>
      <c r="E125" s="3">
        <v>41.076872422999017</v>
      </c>
      <c r="F125" s="3">
        <v>42.599750757183926</v>
      </c>
      <c r="G125" s="3">
        <v>44.250336478190277</v>
      </c>
      <c r="H125" s="3">
        <v>45.889798469254984</v>
      </c>
      <c r="I125" s="3">
        <v>47.685656280706354</v>
      </c>
      <c r="J125" s="3">
        <v>49.520152352774183</v>
      </c>
      <c r="K125" s="3">
        <v>51.424714278914301</v>
      </c>
      <c r="L125" s="3">
        <v>53.397965621456841</v>
      </c>
      <c r="M125" s="3">
        <v>55.443378430086725</v>
      </c>
    </row>
    <row r="126" spans="1:13" ht="15" hidden="1" customHeight="1"/>
    <row r="127" spans="1:13" ht="15" hidden="1" customHeight="1">
      <c r="A127" s="4" t="s">
        <v>43</v>
      </c>
      <c r="C127" s="98">
        <f>C81-C80</f>
        <v>9.9999999999999645E-2</v>
      </c>
      <c r="D127" s="98">
        <f t="shared" ref="D127:M127" si="17">D81-D80</f>
        <v>0.10000000000000009</v>
      </c>
      <c r="E127" s="98">
        <f t="shared" si="17"/>
        <v>0.10000000000000009</v>
      </c>
      <c r="F127" s="98">
        <f t="shared" si="17"/>
        <v>0.10000000000000009</v>
      </c>
      <c r="G127" s="98">
        <f t="shared" si="17"/>
        <v>0.10000000000000009</v>
      </c>
      <c r="H127" s="98">
        <f t="shared" si="17"/>
        <v>0.10000000000000009</v>
      </c>
      <c r="I127" s="98">
        <f t="shared" si="17"/>
        <v>0.10000000000000009</v>
      </c>
      <c r="J127" s="98">
        <f t="shared" si="17"/>
        <v>0.10000000000000009</v>
      </c>
      <c r="K127" s="98">
        <f t="shared" si="17"/>
        <v>0.10000000000000009</v>
      </c>
      <c r="L127" s="98">
        <f t="shared" si="17"/>
        <v>9.9999999999999645E-2</v>
      </c>
      <c r="M127" s="98">
        <f t="shared" si="17"/>
        <v>0.10000000000000009</v>
      </c>
    </row>
    <row r="128" spans="1:13" ht="15" hidden="1" customHeight="1">
      <c r="C128" s="98"/>
      <c r="D128" s="98"/>
      <c r="E128" s="98"/>
      <c r="F128" s="98"/>
      <c r="G128" s="98"/>
      <c r="H128" s="98"/>
      <c r="I128" s="98"/>
      <c r="J128" s="98"/>
      <c r="K128" s="98"/>
      <c r="L128" s="98"/>
      <c r="M128" s="98"/>
    </row>
    <row r="129" spans="1:13" ht="15" hidden="1" customHeight="1">
      <c r="A129" s="4" t="s">
        <v>42</v>
      </c>
      <c r="B129" s="184"/>
      <c r="C129" s="184">
        <v>52.194000000000003</v>
      </c>
      <c r="D129" s="184">
        <v>72.44</v>
      </c>
      <c r="E129" s="184">
        <v>41.603999999999999</v>
      </c>
      <c r="F129" s="184">
        <v>33.165999999999997</v>
      </c>
      <c r="G129" s="184">
        <v>27.507000000000001</v>
      </c>
      <c r="H129" s="184">
        <v>24.802</v>
      </c>
      <c r="I129" s="184">
        <v>18.082999999999998</v>
      </c>
      <c r="J129" s="184">
        <v>16.268999999999998</v>
      </c>
      <c r="K129" s="184">
        <v>12.265000000000001</v>
      </c>
      <c r="L129" s="184">
        <v>12.07</v>
      </c>
      <c r="M129" s="184">
        <v>10.215</v>
      </c>
    </row>
    <row r="130" spans="1:13" ht="15" hidden="1" customHeight="1">
      <c r="C130" s="98">
        <v>0</v>
      </c>
      <c r="D130" s="98">
        <v>54.98</v>
      </c>
      <c r="E130" s="98">
        <v>76.132999999999996</v>
      </c>
      <c r="F130" s="98">
        <v>43.307000000000002</v>
      </c>
      <c r="G130" s="98">
        <v>34.496000000000002</v>
      </c>
      <c r="H130" s="98">
        <v>28.579000000000001</v>
      </c>
      <c r="I130" s="98">
        <v>25.954000000000001</v>
      </c>
      <c r="J130" s="98">
        <v>19.027000000000001</v>
      </c>
      <c r="K130" s="98">
        <v>16.891999999999999</v>
      </c>
      <c r="L130" s="98">
        <v>12.59</v>
      </c>
      <c r="M130" s="98">
        <v>12.39</v>
      </c>
    </row>
    <row r="131" spans="1:13" ht="15" hidden="1" customHeight="1">
      <c r="C131" s="98">
        <v>0</v>
      </c>
      <c r="D131" s="98">
        <v>0</v>
      </c>
      <c r="E131" s="98">
        <v>56.722999999999999</v>
      </c>
      <c r="F131" s="98">
        <v>80.096000000000004</v>
      </c>
      <c r="G131" s="98">
        <v>45.121000000000002</v>
      </c>
      <c r="H131" s="98">
        <v>35.911999999999999</v>
      </c>
      <c r="I131" s="98">
        <v>29.72</v>
      </c>
      <c r="J131" s="98">
        <v>27.184000000000001</v>
      </c>
      <c r="K131" s="98">
        <v>20.036999999999999</v>
      </c>
      <c r="L131" s="98">
        <v>17.55</v>
      </c>
      <c r="M131" s="98">
        <v>12.930999999999999</v>
      </c>
    </row>
    <row r="132" spans="1:13" ht="15" hidden="1" customHeight="1">
      <c r="C132" s="98">
        <v>0</v>
      </c>
      <c r="D132" s="98">
        <v>0</v>
      </c>
      <c r="E132" s="98">
        <v>0</v>
      </c>
      <c r="F132" s="98">
        <v>60.441000000000003</v>
      </c>
      <c r="G132" s="98">
        <v>85.403000000000006</v>
      </c>
      <c r="H132" s="98">
        <v>48.331000000000003</v>
      </c>
      <c r="I132" s="98">
        <v>38.578000000000003</v>
      </c>
      <c r="J132" s="98">
        <v>31.995000000000001</v>
      </c>
      <c r="K132" s="98">
        <v>28.98</v>
      </c>
      <c r="L132" s="98">
        <v>21.3</v>
      </c>
      <c r="M132" s="98">
        <v>18.655999999999999</v>
      </c>
    </row>
    <row r="133" spans="1:13" ht="15" hidden="1" customHeight="1">
      <c r="C133" s="98">
        <v>0</v>
      </c>
      <c r="D133" s="98">
        <v>0</v>
      </c>
      <c r="E133" s="98">
        <v>0</v>
      </c>
      <c r="F133" s="98">
        <v>0</v>
      </c>
      <c r="G133" s="98">
        <v>63.893000000000001</v>
      </c>
      <c r="H133" s="98">
        <v>89.099000000000004</v>
      </c>
      <c r="I133" s="98">
        <v>50.652999999999999</v>
      </c>
      <c r="J133" s="98">
        <v>40.546999999999997</v>
      </c>
      <c r="K133" s="98">
        <v>33.700000000000003</v>
      </c>
      <c r="L133" s="98">
        <v>30.224</v>
      </c>
      <c r="M133" s="98">
        <v>22.152000000000001</v>
      </c>
    </row>
    <row r="134" spans="1:13" ht="15" hidden="1" customHeight="1">
      <c r="C134" s="98">
        <v>0</v>
      </c>
      <c r="D134" s="98">
        <v>0</v>
      </c>
      <c r="E134" s="98">
        <v>0</v>
      </c>
      <c r="F134" s="98">
        <v>0</v>
      </c>
      <c r="G134" s="98">
        <v>0</v>
      </c>
      <c r="H134" s="98">
        <v>68.037000000000006</v>
      </c>
      <c r="I134" s="98">
        <v>94.483999999999995</v>
      </c>
      <c r="J134" s="98">
        <v>53.69</v>
      </c>
      <c r="K134" s="98">
        <v>43.116</v>
      </c>
      <c r="L134" s="98">
        <v>35.887999999999998</v>
      </c>
      <c r="M134" s="98">
        <v>32.186</v>
      </c>
    </row>
    <row r="135" spans="1:13" ht="15" hidden="1" customHeight="1">
      <c r="C135" s="98">
        <v>0</v>
      </c>
      <c r="D135" s="98">
        <v>0</v>
      </c>
      <c r="E135" s="98">
        <v>0</v>
      </c>
      <c r="F135" s="98">
        <v>0</v>
      </c>
      <c r="G135" s="98">
        <v>0</v>
      </c>
      <c r="H135" s="98">
        <v>0</v>
      </c>
      <c r="I135" s="98">
        <v>70.947999999999993</v>
      </c>
      <c r="J135" s="98">
        <v>99.77</v>
      </c>
      <c r="K135" s="98">
        <v>56.667999999999999</v>
      </c>
      <c r="L135" s="98">
        <v>45.654000000000003</v>
      </c>
      <c r="M135" s="98">
        <v>38.055999999999997</v>
      </c>
    </row>
    <row r="136" spans="1:13" ht="15" hidden="1" customHeight="1">
      <c r="C136" s="98">
        <v>0</v>
      </c>
      <c r="D136" s="98">
        <v>0</v>
      </c>
      <c r="E136" s="98">
        <v>0</v>
      </c>
      <c r="F136" s="98">
        <v>0</v>
      </c>
      <c r="G136" s="98">
        <v>0</v>
      </c>
      <c r="H136" s="98">
        <v>0</v>
      </c>
      <c r="I136" s="98">
        <v>0</v>
      </c>
      <c r="J136" s="98">
        <v>74.688000000000002</v>
      </c>
      <c r="K136" s="98">
        <v>103.9</v>
      </c>
      <c r="L136" s="98">
        <v>58.811</v>
      </c>
      <c r="M136" s="98">
        <v>47.381</v>
      </c>
    </row>
    <row r="137" spans="1:13" ht="15" hidden="1" customHeight="1">
      <c r="C137" s="98">
        <v>0</v>
      </c>
      <c r="D137" s="98">
        <v>0</v>
      </c>
      <c r="E137" s="98">
        <v>0</v>
      </c>
      <c r="F137" s="98">
        <v>0</v>
      </c>
      <c r="G137" s="98">
        <v>0</v>
      </c>
      <c r="H137" s="98">
        <v>0</v>
      </c>
      <c r="I137" s="98">
        <v>0</v>
      </c>
      <c r="J137" s="98">
        <v>0</v>
      </c>
      <c r="K137" s="98">
        <v>78.212000000000003</v>
      </c>
      <c r="L137" s="98">
        <v>110.358</v>
      </c>
      <c r="M137" s="98">
        <v>62.250999999999998</v>
      </c>
    </row>
    <row r="138" spans="1:13" ht="15" hidden="1" customHeight="1">
      <c r="C138" s="98">
        <v>0</v>
      </c>
      <c r="D138" s="98">
        <v>0</v>
      </c>
      <c r="E138" s="98">
        <v>0</v>
      </c>
      <c r="F138" s="98">
        <v>0</v>
      </c>
      <c r="G138" s="98">
        <v>0</v>
      </c>
      <c r="H138" s="98">
        <v>0</v>
      </c>
      <c r="I138" s="98">
        <v>0</v>
      </c>
      <c r="J138" s="98">
        <v>0</v>
      </c>
      <c r="K138" s="98">
        <v>0</v>
      </c>
      <c r="L138" s="98">
        <v>81.424000000000007</v>
      </c>
      <c r="M138" s="98">
        <v>113.93300000000001</v>
      </c>
    </row>
    <row r="139" spans="1:13" ht="15" hidden="1" customHeight="1">
      <c r="C139" s="98">
        <v>0</v>
      </c>
      <c r="D139" s="98">
        <v>0</v>
      </c>
      <c r="E139" s="98">
        <v>0</v>
      </c>
      <c r="F139" s="98">
        <v>0</v>
      </c>
      <c r="G139" s="98">
        <v>0</v>
      </c>
      <c r="H139" s="98">
        <v>0</v>
      </c>
      <c r="I139" s="98">
        <v>0</v>
      </c>
      <c r="J139" s="98">
        <v>0</v>
      </c>
      <c r="K139" s="98">
        <v>0</v>
      </c>
      <c r="L139" s="98">
        <v>0</v>
      </c>
      <c r="M139" s="98">
        <v>85.108000000000004</v>
      </c>
    </row>
    <row r="140" spans="1:13" ht="15" hidden="1" customHeight="1">
      <c r="C140" s="98"/>
      <c r="D140" s="98"/>
      <c r="E140" s="98"/>
      <c r="F140" s="98"/>
      <c r="G140" s="98"/>
      <c r="H140" s="98"/>
      <c r="I140" s="98"/>
      <c r="J140" s="98"/>
      <c r="K140" s="98"/>
      <c r="L140" s="98"/>
      <c r="M140" s="98"/>
    </row>
    <row r="141" spans="1:13" ht="15" hidden="1" customHeight="1">
      <c r="A141" s="4" t="s">
        <v>44</v>
      </c>
      <c r="C141" s="98">
        <v>0</v>
      </c>
      <c r="D141" s="98">
        <v>0</v>
      </c>
      <c r="E141" s="98">
        <v>0</v>
      </c>
      <c r="F141" s="98">
        <v>0</v>
      </c>
      <c r="G141" s="98">
        <v>0</v>
      </c>
      <c r="H141" s="98">
        <v>0</v>
      </c>
      <c r="I141" s="98">
        <v>0</v>
      </c>
      <c r="J141" s="98">
        <v>0</v>
      </c>
      <c r="K141" s="98">
        <v>0</v>
      </c>
      <c r="L141" s="98">
        <v>0</v>
      </c>
      <c r="M141" s="98">
        <v>0</v>
      </c>
    </row>
    <row r="142" spans="1:13" ht="15" hidden="1" customHeight="1">
      <c r="C142" s="98"/>
      <c r="D142" s="98"/>
      <c r="E142" s="98"/>
      <c r="F142" s="98"/>
      <c r="G142" s="98"/>
      <c r="H142" s="98"/>
      <c r="I142" s="98"/>
      <c r="J142" s="98"/>
      <c r="K142" s="98"/>
      <c r="L142" s="98"/>
      <c r="M142" s="98"/>
    </row>
    <row r="143" spans="1:13" ht="15" hidden="1" customHeight="1">
      <c r="A143" s="4" t="s">
        <v>31</v>
      </c>
      <c r="C143" s="180">
        <f>C31+C32+C34+C35-C28</f>
        <v>6.1219999999999999</v>
      </c>
      <c r="D143" s="180">
        <f t="shared" ref="D143:M143" si="18">D31+D32+D34+D35-D28</f>
        <v>11.666</v>
      </c>
      <c r="E143" s="180">
        <f t="shared" si="18"/>
        <v>15.470000000000002</v>
      </c>
      <c r="F143" s="180">
        <f t="shared" si="18"/>
        <v>19.339000000000006</v>
      </c>
      <c r="G143" s="180">
        <f t="shared" si="18"/>
        <v>22.853999999999996</v>
      </c>
      <c r="H143" s="180">
        <f t="shared" si="18"/>
        <v>26.518999999999998</v>
      </c>
      <c r="I143" s="180">
        <f t="shared" si="18"/>
        <v>29.718000000000004</v>
      </c>
      <c r="J143" s="180">
        <f t="shared" si="18"/>
        <v>33.213999999999999</v>
      </c>
      <c r="K143" s="180">
        <f t="shared" si="18"/>
        <v>37.11</v>
      </c>
      <c r="L143" s="180">
        <f t="shared" si="18"/>
        <v>39.855000000000004</v>
      </c>
      <c r="M143" s="180">
        <f t="shared" si="18"/>
        <v>42.240000000000009</v>
      </c>
    </row>
    <row r="144" spans="1:13" ht="15" hidden="1" customHeight="1"/>
    <row r="145" spans="1:13" ht="15" hidden="1" customHeight="1">
      <c r="A145" s="4" t="s">
        <v>29</v>
      </c>
      <c r="C145" s="3">
        <v>1.0500000000000001E-2</v>
      </c>
      <c r="D145" s="3">
        <v>3.7900000000000003E-2</v>
      </c>
      <c r="E145" s="3">
        <v>3.73E-2</v>
      </c>
      <c r="F145" s="3">
        <v>3.8300000000000001E-2</v>
      </c>
      <c r="G145" s="3">
        <v>3.9300000000000002E-2</v>
      </c>
      <c r="H145" s="3">
        <v>4.0300000000000002E-2</v>
      </c>
      <c r="I145" s="3">
        <v>4.1099999999999998E-2</v>
      </c>
      <c r="J145" s="3">
        <v>4.2200000000000001E-2</v>
      </c>
      <c r="K145" s="3">
        <v>4.3200000000000002E-2</v>
      </c>
      <c r="L145" s="3">
        <v>4.4499999999999998E-2</v>
      </c>
      <c r="M145" s="3">
        <v>4.5600000000000002E-2</v>
      </c>
    </row>
    <row r="146" spans="1:13" ht="15" hidden="1" customHeight="1">
      <c r="C146" s="3">
        <v>0</v>
      </c>
      <c r="D146" s="3">
        <v>1.8499999999999999E-2</v>
      </c>
      <c r="E146" s="3">
        <v>3.6499999999999998E-2</v>
      </c>
      <c r="F146" s="3">
        <v>3.78E-2</v>
      </c>
      <c r="G146" s="3">
        <v>3.8699999999999998E-2</v>
      </c>
      <c r="H146" s="3">
        <v>3.9800000000000002E-2</v>
      </c>
      <c r="I146" s="3">
        <v>4.1000000000000002E-2</v>
      </c>
      <c r="J146" s="3">
        <v>4.2000000000000003E-2</v>
      </c>
      <c r="K146" s="3">
        <v>4.3200000000000002E-2</v>
      </c>
      <c r="L146" s="3">
        <v>4.4499999999999998E-2</v>
      </c>
      <c r="M146" s="3">
        <v>4.5900000000000003E-2</v>
      </c>
    </row>
    <row r="147" spans="1:13" ht="15" hidden="1" customHeight="1">
      <c r="C147" s="3">
        <v>0</v>
      </c>
      <c r="D147" s="3">
        <v>0</v>
      </c>
      <c r="E147" s="3">
        <v>1.84E-2</v>
      </c>
      <c r="F147" s="3">
        <v>3.5999999999999997E-2</v>
      </c>
      <c r="G147" s="3">
        <v>3.6999999999999998E-2</v>
      </c>
      <c r="H147" s="3">
        <v>3.8199999999999998E-2</v>
      </c>
      <c r="I147" s="3">
        <v>3.9199999999999999E-2</v>
      </c>
      <c r="J147" s="3">
        <v>4.02E-2</v>
      </c>
      <c r="K147" s="3">
        <v>4.1599999999999998E-2</v>
      </c>
      <c r="L147" s="3">
        <v>4.2799999999999998E-2</v>
      </c>
      <c r="M147" s="3">
        <v>4.3999999999999997E-2</v>
      </c>
    </row>
    <row r="148" spans="1:13" ht="15" hidden="1" customHeight="1">
      <c r="C148" s="3">
        <v>0</v>
      </c>
      <c r="D148" s="3">
        <v>0</v>
      </c>
      <c r="E148" s="3">
        <v>0</v>
      </c>
      <c r="F148" s="3">
        <v>1.8200000000000001E-2</v>
      </c>
      <c r="G148" s="3">
        <v>3.5700000000000003E-2</v>
      </c>
      <c r="H148" s="3">
        <v>3.6700000000000003E-2</v>
      </c>
      <c r="I148" s="3">
        <v>3.78E-2</v>
      </c>
      <c r="J148" s="3">
        <v>3.8899999999999997E-2</v>
      </c>
      <c r="K148" s="3">
        <v>0.04</v>
      </c>
      <c r="L148" s="3">
        <v>4.1300000000000003E-2</v>
      </c>
      <c r="M148" s="3">
        <v>4.2500000000000003E-2</v>
      </c>
    </row>
    <row r="149" spans="1:13" ht="15" hidden="1" customHeight="1">
      <c r="C149" s="3">
        <v>0</v>
      </c>
      <c r="D149" s="3">
        <v>0</v>
      </c>
      <c r="E149" s="3">
        <v>0</v>
      </c>
      <c r="F149" s="3">
        <v>0</v>
      </c>
      <c r="G149" s="3">
        <v>1.8100000000000002E-2</v>
      </c>
      <c r="H149" s="3">
        <v>3.5400000000000001E-2</v>
      </c>
      <c r="I149" s="3">
        <v>3.6400000000000002E-2</v>
      </c>
      <c r="J149" s="3">
        <v>3.7499999999999999E-2</v>
      </c>
      <c r="K149" s="3">
        <v>3.8600000000000002E-2</v>
      </c>
      <c r="L149" s="3">
        <v>3.9800000000000002E-2</v>
      </c>
      <c r="M149" s="3">
        <v>4.0899999999999999E-2</v>
      </c>
    </row>
    <row r="150" spans="1:13" ht="15" hidden="1" customHeight="1">
      <c r="C150" s="3">
        <v>0</v>
      </c>
      <c r="D150" s="3">
        <v>0</v>
      </c>
      <c r="E150" s="3">
        <v>0</v>
      </c>
      <c r="F150" s="3">
        <v>0</v>
      </c>
      <c r="G150" s="3">
        <v>0</v>
      </c>
      <c r="H150" s="3">
        <v>1.8100000000000002E-2</v>
      </c>
      <c r="I150" s="3">
        <v>3.5000000000000003E-2</v>
      </c>
      <c r="J150" s="3">
        <v>3.5999999999999997E-2</v>
      </c>
      <c r="K150" s="3">
        <v>3.7199999999999997E-2</v>
      </c>
      <c r="L150" s="3">
        <v>3.8399999999999997E-2</v>
      </c>
      <c r="M150" s="3">
        <v>3.95E-2</v>
      </c>
    </row>
    <row r="151" spans="1:13" ht="15" hidden="1" customHeight="1">
      <c r="C151" s="3">
        <v>0</v>
      </c>
      <c r="D151" s="3">
        <v>0</v>
      </c>
      <c r="E151" s="3">
        <v>0</v>
      </c>
      <c r="F151" s="3">
        <v>0</v>
      </c>
      <c r="G151" s="3">
        <v>0</v>
      </c>
      <c r="H151" s="3">
        <v>0</v>
      </c>
      <c r="I151" s="3">
        <v>1.7999999999999999E-2</v>
      </c>
      <c r="J151" s="3">
        <v>3.4799999999999998E-2</v>
      </c>
      <c r="K151" s="3">
        <v>3.5999999999999997E-2</v>
      </c>
      <c r="L151" s="3">
        <v>3.6999999999999998E-2</v>
      </c>
      <c r="M151" s="3">
        <v>3.8100000000000002E-2</v>
      </c>
    </row>
    <row r="152" spans="1:13" ht="15" hidden="1" customHeight="1">
      <c r="C152" s="3">
        <v>0</v>
      </c>
      <c r="D152" s="3">
        <v>0</v>
      </c>
      <c r="E152" s="3">
        <v>0</v>
      </c>
      <c r="F152" s="3">
        <v>0</v>
      </c>
      <c r="G152" s="3">
        <v>0</v>
      </c>
      <c r="H152" s="3">
        <v>0</v>
      </c>
      <c r="I152" s="3">
        <v>0</v>
      </c>
      <c r="J152" s="3">
        <v>1.7999999999999999E-2</v>
      </c>
      <c r="K152" s="3">
        <v>3.4500000000000003E-2</v>
      </c>
      <c r="L152" s="3">
        <v>3.5799999999999998E-2</v>
      </c>
      <c r="M152" s="3">
        <v>3.6900000000000002E-2</v>
      </c>
    </row>
    <row r="153" spans="1:13" ht="15" hidden="1" customHeight="1">
      <c r="C153" s="3">
        <v>0</v>
      </c>
      <c r="D153" s="3">
        <v>0</v>
      </c>
      <c r="E153" s="3">
        <v>0</v>
      </c>
      <c r="F153" s="3">
        <v>0</v>
      </c>
      <c r="G153" s="3">
        <v>0</v>
      </c>
      <c r="H153" s="3">
        <v>0</v>
      </c>
      <c r="I153" s="3">
        <v>0</v>
      </c>
      <c r="J153" s="3">
        <v>0</v>
      </c>
      <c r="K153" s="3">
        <v>1.7899999999999999E-2</v>
      </c>
      <c r="L153" s="3">
        <v>3.4500000000000003E-2</v>
      </c>
      <c r="M153" s="3">
        <v>3.56E-2</v>
      </c>
    </row>
    <row r="154" spans="1:13" ht="15" hidden="1" customHeight="1">
      <c r="C154" s="3">
        <v>0</v>
      </c>
      <c r="D154" s="3">
        <v>0</v>
      </c>
      <c r="E154" s="3">
        <v>0</v>
      </c>
      <c r="F154" s="3">
        <v>0</v>
      </c>
      <c r="G154" s="3">
        <v>0</v>
      </c>
      <c r="H154" s="3">
        <v>0</v>
      </c>
      <c r="I154" s="3">
        <v>0</v>
      </c>
      <c r="J154" s="3">
        <v>0</v>
      </c>
      <c r="K154" s="3">
        <v>0</v>
      </c>
      <c r="L154" s="3">
        <v>1.7899999999999999E-2</v>
      </c>
      <c r="M154" s="3">
        <v>3.4299999999999997E-2</v>
      </c>
    </row>
    <row r="155" spans="1:13" ht="15" hidden="1" customHeight="1">
      <c r="C155" s="3">
        <v>0</v>
      </c>
      <c r="D155" s="3">
        <v>0</v>
      </c>
      <c r="E155" s="3">
        <v>0</v>
      </c>
      <c r="F155" s="3">
        <v>0</v>
      </c>
      <c r="G155" s="3">
        <v>0</v>
      </c>
      <c r="H155" s="3">
        <v>0</v>
      </c>
      <c r="I155" s="3">
        <v>0</v>
      </c>
      <c r="J155" s="3">
        <v>0</v>
      </c>
      <c r="K155" s="3">
        <v>0</v>
      </c>
      <c r="L155" s="3">
        <v>0</v>
      </c>
      <c r="M155" s="3">
        <v>1.78E-2</v>
      </c>
    </row>
    <row r="156" spans="1:13" ht="15" hidden="1" customHeight="1"/>
    <row r="157" spans="1:13" ht="15" hidden="1" customHeight="1">
      <c r="A157" s="4" t="s">
        <v>55</v>
      </c>
      <c r="C157" s="102">
        <v>2.0000000000000018E-3</v>
      </c>
      <c r="D157" s="102">
        <v>1.100000000000001E-2</v>
      </c>
      <c r="E157" s="102">
        <v>2.9000000000000026E-2</v>
      </c>
      <c r="F157" s="102">
        <v>4.7999999999999821E-2</v>
      </c>
      <c r="G157" s="102">
        <v>7.099999999999973E-2</v>
      </c>
      <c r="H157" s="102">
        <v>0.10199999999999987</v>
      </c>
      <c r="I157" s="102">
        <v>0.13900000000000023</v>
      </c>
      <c r="J157" s="102">
        <v>0.18700000000000028</v>
      </c>
      <c r="K157" s="102">
        <v>0.23299999999999965</v>
      </c>
      <c r="L157" s="102">
        <v>0.27400000000000091</v>
      </c>
      <c r="M157" s="102">
        <v>0.35899999999999999</v>
      </c>
    </row>
    <row r="158" spans="1:13" ht="15" hidden="1" customHeight="1"/>
    <row r="159" spans="1:13" ht="15" hidden="1" customHeight="1">
      <c r="A159" s="4" t="s">
        <v>46</v>
      </c>
      <c r="C159" s="98">
        <f>C84-C83</f>
        <v>0.10000000000000009</v>
      </c>
      <c r="D159" s="98">
        <f t="shared" ref="D159:M159" si="19">D84-D83</f>
        <v>9.9999999999999645E-2</v>
      </c>
      <c r="E159" s="98">
        <f t="shared" si="19"/>
        <v>0.10000000000000009</v>
      </c>
      <c r="F159" s="98">
        <f t="shared" si="19"/>
        <v>0.10000000000000009</v>
      </c>
      <c r="G159" s="98">
        <f t="shared" si="19"/>
        <v>0.10000000000000009</v>
      </c>
      <c r="H159" s="98">
        <f t="shared" si="19"/>
        <v>0.10000000000000009</v>
      </c>
      <c r="I159" s="98">
        <f t="shared" si="19"/>
        <v>9.9999999999999867E-2</v>
      </c>
      <c r="J159" s="98">
        <f t="shared" si="19"/>
        <v>0.10000000000000009</v>
      </c>
      <c r="K159" s="98">
        <f t="shared" si="19"/>
        <v>0.10000000000000009</v>
      </c>
      <c r="L159" s="98">
        <f t="shared" si="19"/>
        <v>9.9999999999999867E-2</v>
      </c>
      <c r="M159" s="98">
        <f t="shared" si="19"/>
        <v>9.9999999999999867E-2</v>
      </c>
    </row>
    <row r="160" spans="1:13" ht="15" hidden="1" customHeight="1">
      <c r="C160" s="98"/>
      <c r="D160" s="98"/>
      <c r="E160" s="98"/>
      <c r="F160" s="98"/>
      <c r="G160" s="98"/>
      <c r="H160" s="98"/>
      <c r="I160" s="98"/>
      <c r="J160" s="98"/>
      <c r="K160" s="98"/>
      <c r="L160" s="98"/>
      <c r="M160" s="98"/>
    </row>
    <row r="161" spans="1:13" ht="15" hidden="1" customHeight="1">
      <c r="A161" s="4" t="s">
        <v>45</v>
      </c>
      <c r="C161" s="192">
        <v>21.207999999999998</v>
      </c>
      <c r="D161" s="192">
        <v>-3.5049999999999999</v>
      </c>
      <c r="E161" s="192">
        <v>-0.60699999999999998</v>
      </c>
      <c r="F161" s="192">
        <v>-1.325</v>
      </c>
      <c r="G161" s="192">
        <v>-1.1910000000000001</v>
      </c>
      <c r="H161" s="192">
        <v>-0.82199999999999995</v>
      </c>
      <c r="I161" s="192">
        <v>-0.44900000000000001</v>
      </c>
      <c r="J161" s="192">
        <v>-0.499</v>
      </c>
      <c r="K161" s="192">
        <v>-0.49099999999999999</v>
      </c>
      <c r="L161" s="192">
        <v>-0.505</v>
      </c>
      <c r="M161" s="192">
        <v>-2.1999999999999999E-2</v>
      </c>
    </row>
    <row r="162" spans="1:13" ht="15" hidden="1" customHeight="1">
      <c r="C162" s="192">
        <v>0</v>
      </c>
      <c r="D162" s="197">
        <v>21.514999999999983</v>
      </c>
      <c r="E162" s="197">
        <v>-4.6170000000000293</v>
      </c>
      <c r="F162" s="197">
        <v>-1.0549483099360546</v>
      </c>
      <c r="G162" s="197">
        <v>-2.0997935670644909</v>
      </c>
      <c r="H162" s="197">
        <v>-1.9154628972035663</v>
      </c>
      <c r="I162" s="197">
        <v>-1.3149931773618455</v>
      </c>
      <c r="J162" s="197">
        <v>-0.8325410576187976</v>
      </c>
      <c r="K162" s="197">
        <v>-0.87547025547194501</v>
      </c>
      <c r="L162" s="197">
        <v>-0.85573815951690879</v>
      </c>
      <c r="M162" s="197">
        <v>-0.88013802557238074</v>
      </c>
    </row>
    <row r="163" spans="1:13" ht="15" hidden="1" customHeight="1">
      <c r="C163" s="192">
        <v>0</v>
      </c>
      <c r="D163" s="192">
        <v>0</v>
      </c>
      <c r="E163" s="192">
        <v>22.584</v>
      </c>
      <c r="F163" s="192">
        <v>-4.1859999999999999</v>
      </c>
      <c r="G163" s="192">
        <v>-1.1879999999999999</v>
      </c>
      <c r="H163" s="192">
        <v>-2.1360000000000001</v>
      </c>
      <c r="I163" s="192">
        <v>-1.9770000000000001</v>
      </c>
      <c r="J163" s="192">
        <v>-1.35</v>
      </c>
      <c r="K163" s="192">
        <v>-0.97199999999999998</v>
      </c>
      <c r="L163" s="192">
        <v>-0.96399999999999997</v>
      </c>
      <c r="M163" s="192">
        <v>-0.93600000000000005</v>
      </c>
    </row>
    <row r="164" spans="1:13" ht="15" hidden="1" customHeight="1">
      <c r="C164" s="192">
        <v>0</v>
      </c>
      <c r="D164" s="192">
        <v>0</v>
      </c>
      <c r="E164" s="192">
        <v>0</v>
      </c>
      <c r="F164" s="197">
        <v>22.595948309936034</v>
      </c>
      <c r="G164" s="197">
        <v>-5.0882064329354968</v>
      </c>
      <c r="H164" s="197">
        <v>-1.6707061894627662</v>
      </c>
      <c r="I164" s="197">
        <v>-2.7120950282050642</v>
      </c>
      <c r="J164" s="197">
        <v>-2.5260999900161965</v>
      </c>
      <c r="K164" s="197">
        <v>-1.7521037530541184</v>
      </c>
      <c r="L164" s="197">
        <v>-1.2542918590301753</v>
      </c>
      <c r="M164" s="197">
        <v>-1.2439684692439188</v>
      </c>
    </row>
    <row r="165" spans="1:13" ht="15" hidden="1" customHeight="1">
      <c r="C165" s="192">
        <v>0</v>
      </c>
      <c r="D165" s="192">
        <v>0</v>
      </c>
      <c r="E165" s="192">
        <v>0</v>
      </c>
      <c r="F165" s="192">
        <v>0</v>
      </c>
      <c r="G165" s="192">
        <v>24.227</v>
      </c>
      <c r="H165" s="192">
        <v>-5.2240000000000002</v>
      </c>
      <c r="I165" s="192">
        <v>-1.948</v>
      </c>
      <c r="J165" s="192">
        <v>-2.8220000000000001</v>
      </c>
      <c r="K165" s="192">
        <v>-2.645</v>
      </c>
      <c r="L165" s="192">
        <v>-1.863</v>
      </c>
      <c r="M165" s="192">
        <v>-1.3260000000000001</v>
      </c>
    </row>
    <row r="166" spans="1:13" ht="15" hidden="1" customHeight="1">
      <c r="C166" s="192">
        <v>0</v>
      </c>
      <c r="D166" s="192">
        <v>0</v>
      </c>
      <c r="E166" s="192">
        <v>0</v>
      </c>
      <c r="F166" s="192">
        <v>0</v>
      </c>
      <c r="G166" s="192">
        <v>0</v>
      </c>
      <c r="H166" s="197">
        <v>25.768169086666354</v>
      </c>
      <c r="I166" s="197">
        <v>-3.9339117944330972</v>
      </c>
      <c r="J166" s="197">
        <v>-1.4211688758446137</v>
      </c>
      <c r="K166" s="197">
        <v>-2.1711463764463201</v>
      </c>
      <c r="L166" s="197">
        <v>-2.0923568703786204</v>
      </c>
      <c r="M166" s="197">
        <v>-1.4737470130492891</v>
      </c>
    </row>
    <row r="167" spans="1:13" ht="15" hidden="1" customHeight="1">
      <c r="C167" s="192">
        <v>0</v>
      </c>
      <c r="D167" s="192">
        <v>0</v>
      </c>
      <c r="E167" s="192">
        <v>0</v>
      </c>
      <c r="F167" s="192">
        <v>0</v>
      </c>
      <c r="G167" s="192">
        <v>0</v>
      </c>
      <c r="H167" s="192">
        <v>0</v>
      </c>
      <c r="I167" s="192">
        <v>26.454999999999998</v>
      </c>
      <c r="J167" s="192">
        <v>-5.2370000000000001</v>
      </c>
      <c r="K167" s="192">
        <v>-1.831</v>
      </c>
      <c r="L167" s="192">
        <v>-2.9420000000000002</v>
      </c>
      <c r="M167" s="192">
        <v>-2.9129999999999998</v>
      </c>
    </row>
    <row r="168" spans="1:13" ht="15" hidden="1" customHeight="1">
      <c r="C168" s="192">
        <v>0</v>
      </c>
      <c r="D168" s="192">
        <v>0</v>
      </c>
      <c r="E168" s="192">
        <v>0</v>
      </c>
      <c r="F168" s="192">
        <v>0</v>
      </c>
      <c r="G168" s="192">
        <v>0</v>
      </c>
      <c r="H168" s="192">
        <v>0</v>
      </c>
      <c r="I168" s="192">
        <v>0</v>
      </c>
      <c r="J168" s="197">
        <v>28.897809923479603</v>
      </c>
      <c r="K168" s="197">
        <v>-3.646279615027666</v>
      </c>
      <c r="L168" s="197">
        <v>-1.224738035622384</v>
      </c>
      <c r="M168" s="197">
        <v>-1.9678750960136833</v>
      </c>
    </row>
    <row r="169" spans="1:13" ht="15" hidden="1" customHeight="1">
      <c r="C169" s="192">
        <v>0</v>
      </c>
      <c r="D169" s="192">
        <v>0</v>
      </c>
      <c r="E169" s="192">
        <v>0</v>
      </c>
      <c r="F169" s="192">
        <v>0</v>
      </c>
      <c r="G169" s="192">
        <v>0</v>
      </c>
      <c r="H169" s="192">
        <v>0</v>
      </c>
      <c r="I169" s="192">
        <v>0</v>
      </c>
      <c r="J169" s="192">
        <v>0</v>
      </c>
      <c r="K169" s="192">
        <v>28.734000000000002</v>
      </c>
      <c r="L169" s="192">
        <v>-5.423</v>
      </c>
      <c r="M169" s="192">
        <v>-1.7470000000000001</v>
      </c>
    </row>
    <row r="170" spans="1:13" ht="15" hidden="1" customHeight="1">
      <c r="C170" s="192">
        <v>0</v>
      </c>
      <c r="D170" s="192">
        <v>0</v>
      </c>
      <c r="E170" s="192">
        <v>0</v>
      </c>
      <c r="F170" s="192">
        <v>0</v>
      </c>
      <c r="G170" s="192">
        <v>0</v>
      </c>
      <c r="H170" s="192">
        <v>0</v>
      </c>
      <c r="I170" s="192">
        <v>0</v>
      </c>
      <c r="J170" s="192">
        <v>0</v>
      </c>
      <c r="K170" s="192">
        <v>0</v>
      </c>
      <c r="L170" s="197">
        <v>31.584124924548071</v>
      </c>
      <c r="M170" s="197">
        <v>-3.7052713961207893</v>
      </c>
    </row>
    <row r="171" spans="1:13" ht="15" hidden="1" customHeight="1">
      <c r="C171" s="192">
        <v>0</v>
      </c>
      <c r="D171" s="192">
        <v>0</v>
      </c>
      <c r="E171" s="192">
        <v>0</v>
      </c>
      <c r="F171" s="192">
        <v>0</v>
      </c>
      <c r="G171" s="192">
        <v>0</v>
      </c>
      <c r="H171" s="192">
        <v>0</v>
      </c>
      <c r="I171" s="192">
        <v>0</v>
      </c>
      <c r="J171" s="192">
        <v>0</v>
      </c>
      <c r="K171" s="192">
        <v>0</v>
      </c>
      <c r="L171" s="192">
        <v>0</v>
      </c>
      <c r="M171" s="192">
        <v>31.425000000000001</v>
      </c>
    </row>
    <row r="172" spans="1:13" ht="15" hidden="1" customHeight="1"/>
    <row r="173" spans="1:13" ht="15" hidden="1" customHeight="1">
      <c r="A173" s="4" t="s">
        <v>56</v>
      </c>
      <c r="C173" s="3">
        <v>-6.1999999999999833E-2</v>
      </c>
      <c r="D173" s="3">
        <v>0</v>
      </c>
      <c r="E173" s="3">
        <v>0</v>
      </c>
      <c r="F173" s="3">
        <v>0</v>
      </c>
      <c r="G173" s="3">
        <v>0</v>
      </c>
      <c r="H173" s="3">
        <v>0</v>
      </c>
      <c r="I173" s="3">
        <v>0</v>
      </c>
      <c r="J173" s="3">
        <v>0</v>
      </c>
      <c r="K173" s="3">
        <v>0</v>
      </c>
      <c r="L173" s="3">
        <v>0</v>
      </c>
      <c r="M173" s="3">
        <v>-9.9999999999988987E-4</v>
      </c>
    </row>
  </sheetData>
  <sheetProtection sheet="1" objects="1" scenarios="1"/>
  <mergeCells count="17">
    <mergeCell ref="B61:M61"/>
    <mergeCell ref="A109:M109"/>
    <mergeCell ref="A103:M103"/>
    <mergeCell ref="A101:M101"/>
    <mergeCell ref="A93:M93"/>
    <mergeCell ref="A99:M99"/>
    <mergeCell ref="A105:M105"/>
    <mergeCell ref="A107:M107"/>
    <mergeCell ref="A95:M95"/>
    <mergeCell ref="A97:M97"/>
    <mergeCell ref="N25:O25"/>
    <mergeCell ref="A7:M7"/>
    <mergeCell ref="A5:M5"/>
    <mergeCell ref="C24:L24"/>
    <mergeCell ref="C11:M11"/>
    <mergeCell ref="C25:M25"/>
    <mergeCell ref="O12:R15"/>
  </mergeCells>
  <dataValidations xWindow="873" yWindow="783"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4" xr:uid="{00000000-0002-0000-0400-000000000000}">
      <formula1>-1</formula1>
      <formula2>1</formula2>
    </dataValidation>
  </dataValidations>
  <hyperlinks>
    <hyperlink ref="A2" r:id="rId1" display="https://www.cbo.gov/publication/61198" xr:uid="{89A6E1DB-106A-4D00-9869-60CC3BF916A9}"/>
  </hyperlinks>
  <pageMargins left="0.75" right="0.75" top="1" bottom="1" header="0.5" footer="0.5"/>
  <pageSetup scale="75"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O90"/>
  <sheetViews>
    <sheetView zoomScaleNormal="100" workbookViewId="0">
      <selection activeCell="C11" sqref="C11"/>
    </sheetView>
  </sheetViews>
  <sheetFormatPr baseColWidth="10" defaultColWidth="12.5" defaultRowHeight="15" customHeight="1"/>
  <cols>
    <col min="1" max="1" width="54.5" style="63" customWidth="1"/>
    <col min="2" max="14" width="7.5" style="63" customWidth="1"/>
    <col min="15" max="15" width="7.83203125" style="63" customWidth="1"/>
    <col min="16" max="16384" width="12.5" style="63"/>
  </cols>
  <sheetData>
    <row r="1" spans="1:15" s="4" customFormat="1" ht="15" customHeight="1">
      <c r="A1" s="2" t="s">
        <v>101</v>
      </c>
      <c r="B1" s="3"/>
      <c r="C1" s="3"/>
      <c r="D1" s="3"/>
      <c r="E1" s="3"/>
      <c r="F1" s="3"/>
      <c r="G1" s="3"/>
      <c r="H1" s="3"/>
      <c r="I1" s="3"/>
      <c r="J1" s="3"/>
      <c r="K1" s="3"/>
      <c r="L1" s="3"/>
      <c r="M1" s="3"/>
      <c r="N1" s="3"/>
      <c r="O1" s="3"/>
    </row>
    <row r="2" spans="1:15" s="4" customFormat="1" ht="15" customHeight="1">
      <c r="A2" s="210" t="s">
        <v>119</v>
      </c>
      <c r="B2" s="3"/>
      <c r="C2" s="3"/>
      <c r="D2" s="3"/>
      <c r="E2" s="3"/>
      <c r="F2" s="3"/>
      <c r="G2" s="3"/>
      <c r="H2" s="3"/>
      <c r="I2" s="3"/>
      <c r="J2" s="3"/>
      <c r="K2" s="3"/>
      <c r="L2" s="3"/>
      <c r="M2" s="3"/>
      <c r="N2" s="3"/>
      <c r="O2" s="3"/>
    </row>
    <row r="3" spans="1:15" s="4" customFormat="1" ht="15" customHeight="1">
      <c r="A3" s="165"/>
      <c r="B3" s="3"/>
      <c r="C3" s="3"/>
      <c r="D3" s="3"/>
      <c r="E3" s="3"/>
      <c r="F3" s="3"/>
      <c r="G3" s="3"/>
      <c r="H3" s="3"/>
      <c r="I3" s="3"/>
      <c r="J3" s="3"/>
      <c r="K3" s="3"/>
      <c r="L3" s="3"/>
      <c r="M3" s="3"/>
      <c r="N3" s="3"/>
      <c r="O3" s="3"/>
    </row>
    <row r="4" spans="1:15" ht="15" customHeight="1">
      <c r="A4" s="61"/>
      <c r="B4" s="61"/>
      <c r="C4" s="61"/>
      <c r="D4" s="61"/>
      <c r="E4" s="61"/>
      <c r="F4" s="61"/>
      <c r="G4" s="61"/>
      <c r="H4" s="61"/>
      <c r="I4" s="61"/>
      <c r="J4" s="61"/>
      <c r="K4" s="61"/>
      <c r="L4" s="61"/>
      <c r="M4" s="61"/>
      <c r="N4" s="61"/>
      <c r="O4" s="61"/>
    </row>
    <row r="5" spans="1:15" ht="15" customHeight="1">
      <c r="A5" s="223" t="s">
        <v>93</v>
      </c>
      <c r="B5" s="223"/>
      <c r="C5" s="223"/>
      <c r="D5" s="223"/>
      <c r="E5" s="223"/>
      <c r="F5" s="223"/>
      <c r="G5" s="223"/>
      <c r="H5" s="223"/>
      <c r="I5" s="223"/>
      <c r="J5" s="223"/>
      <c r="K5" s="223"/>
      <c r="L5" s="223"/>
      <c r="M5" s="223"/>
      <c r="N5" s="223"/>
      <c r="O5" s="223"/>
    </row>
    <row r="6" spans="1:15" s="73" customFormat="1" ht="15" customHeight="1">
      <c r="A6" s="121" t="s">
        <v>83</v>
      </c>
      <c r="B6" s="120"/>
      <c r="C6" s="121"/>
      <c r="D6" s="121"/>
      <c r="E6" s="121"/>
      <c r="F6" s="121"/>
      <c r="G6" s="121"/>
      <c r="H6" s="121"/>
      <c r="I6" s="121"/>
      <c r="J6" s="121"/>
      <c r="K6" s="121"/>
      <c r="L6" s="121"/>
      <c r="M6" s="121"/>
      <c r="N6" s="122"/>
      <c r="O6" s="122"/>
    </row>
    <row r="7" spans="1:15" s="73" customFormat="1" ht="15" customHeight="1">
      <c r="A7" s="95"/>
      <c r="B7" s="95"/>
      <c r="C7" s="122"/>
      <c r="D7" s="122"/>
      <c r="E7" s="122"/>
      <c r="F7" s="122"/>
      <c r="G7" s="122"/>
      <c r="H7" s="122"/>
      <c r="I7" s="122"/>
      <c r="J7" s="122"/>
      <c r="K7" s="122"/>
      <c r="L7" s="122"/>
      <c r="M7" s="122"/>
      <c r="N7" s="123"/>
      <c r="O7" s="123"/>
    </row>
    <row r="8" spans="1:15" s="13" customFormat="1" ht="15" customHeight="1">
      <c r="A8" s="9"/>
      <c r="B8" s="47"/>
      <c r="C8" s="220"/>
      <c r="D8" s="220"/>
      <c r="E8" s="220"/>
      <c r="F8" s="220"/>
      <c r="G8" s="220"/>
      <c r="H8" s="220"/>
      <c r="I8" s="220"/>
      <c r="J8" s="220"/>
      <c r="K8" s="220"/>
      <c r="L8" s="220"/>
      <c r="M8" s="171"/>
      <c r="N8" s="218" t="s">
        <v>15</v>
      </c>
      <c r="O8" s="218"/>
    </row>
    <row r="9" spans="1:15" s="13" customFormat="1" ht="15" customHeight="1">
      <c r="A9" s="9"/>
      <c r="B9" s="47"/>
      <c r="C9" s="47"/>
      <c r="D9" s="47"/>
      <c r="E9" s="47"/>
      <c r="F9" s="47"/>
      <c r="G9" s="47"/>
      <c r="H9" s="47"/>
      <c r="I9" s="47"/>
      <c r="J9" s="47"/>
      <c r="K9" s="47"/>
      <c r="L9" s="47"/>
      <c r="M9" s="47"/>
      <c r="N9" s="48" t="s">
        <v>91</v>
      </c>
      <c r="O9" s="48" t="s">
        <v>91</v>
      </c>
    </row>
    <row r="10" spans="1:15" s="13" customFormat="1" ht="15" customHeight="1">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c r="A11" s="124" t="s">
        <v>59</v>
      </c>
      <c r="B11" s="125" t="s">
        <v>3</v>
      </c>
      <c r="C11" s="189">
        <v>-4.2190000000000003</v>
      </c>
      <c r="D11" s="189">
        <v>-11.04</v>
      </c>
      <c r="E11" s="189">
        <v>-18.893999999999998</v>
      </c>
      <c r="F11" s="189">
        <v>-27.509</v>
      </c>
      <c r="G11" s="189">
        <v>-36.963000000000001</v>
      </c>
      <c r="H11" s="189">
        <v>-47.411999999999999</v>
      </c>
      <c r="I11" s="189">
        <v>-58.82</v>
      </c>
      <c r="J11" s="189">
        <v>-71.373999999999995</v>
      </c>
      <c r="K11" s="189">
        <v>-84.974000000000004</v>
      </c>
      <c r="L11" s="189">
        <v>-99.661000000000001</v>
      </c>
      <c r="M11" s="189">
        <v>-115.773</v>
      </c>
      <c r="N11" s="189">
        <v>-141.81800000000001</v>
      </c>
      <c r="O11" s="189">
        <v>-572.41999999999996</v>
      </c>
    </row>
    <row r="12" spans="1:15" ht="15" customHeight="1">
      <c r="A12" s="124"/>
      <c r="B12" s="125"/>
      <c r="C12" s="126"/>
      <c r="D12" s="126"/>
      <c r="E12" s="126"/>
      <c r="F12" s="126"/>
      <c r="G12" s="126"/>
      <c r="H12" s="126"/>
      <c r="I12" s="126"/>
      <c r="J12" s="126"/>
      <c r="K12" s="126"/>
      <c r="L12" s="126"/>
      <c r="M12" s="126"/>
      <c r="N12" s="127"/>
      <c r="O12" s="127"/>
    </row>
    <row r="13" spans="1:15" ht="15" customHeight="1">
      <c r="A13" s="124" t="s">
        <v>61</v>
      </c>
      <c r="B13" s="125"/>
      <c r="C13" s="126"/>
      <c r="D13" s="126"/>
      <c r="E13" s="126"/>
      <c r="F13" s="126"/>
      <c r="G13" s="126"/>
      <c r="H13" s="126"/>
      <c r="I13" s="126"/>
      <c r="J13" s="126"/>
      <c r="K13" s="126"/>
      <c r="L13" s="126"/>
      <c r="M13" s="126"/>
      <c r="N13" s="127"/>
      <c r="O13" s="127"/>
    </row>
    <row r="14" spans="1:15" ht="15" customHeight="1">
      <c r="A14" s="128" t="s">
        <v>0</v>
      </c>
      <c r="B14" s="125" t="s">
        <v>3</v>
      </c>
      <c r="C14" s="189">
        <v>-2.3E-2</v>
      </c>
      <c r="D14" s="189">
        <v>-0.48599999999999999</v>
      </c>
      <c r="E14" s="189">
        <v>-1.0609999999999999</v>
      </c>
      <c r="F14" s="189">
        <v>-1.901</v>
      </c>
      <c r="G14" s="189">
        <v>-2.476</v>
      </c>
      <c r="H14" s="189">
        <v>-3.3119999999999998</v>
      </c>
      <c r="I14" s="189">
        <v>-4.2290000000000001</v>
      </c>
      <c r="J14" s="189">
        <v>-5.3319999999999999</v>
      </c>
      <c r="K14" s="189">
        <v>-6.6909999999999998</v>
      </c>
      <c r="L14" s="189">
        <v>-8.0410000000000004</v>
      </c>
      <c r="M14" s="189">
        <v>-9.6940000000000008</v>
      </c>
      <c r="N14" s="189">
        <v>-9.2359999999999989</v>
      </c>
      <c r="O14" s="189">
        <v>-43.222999999999999</v>
      </c>
    </row>
    <row r="15" spans="1:15" ht="15" customHeight="1">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c r="A16" s="53" t="s">
        <v>49</v>
      </c>
      <c r="B16" s="125"/>
      <c r="C16" s="126"/>
      <c r="D16" s="126"/>
      <c r="E16" s="126"/>
      <c r="F16" s="126"/>
      <c r="G16" s="126"/>
      <c r="H16" s="126"/>
      <c r="I16" s="126"/>
      <c r="J16" s="126"/>
      <c r="K16" s="126"/>
      <c r="L16" s="126"/>
      <c r="M16" s="126"/>
      <c r="N16" s="127"/>
      <c r="O16" s="127"/>
    </row>
    <row r="17" spans="1:15" ht="15" customHeight="1">
      <c r="A17" s="129" t="s">
        <v>2</v>
      </c>
      <c r="B17" s="125" t="s">
        <v>3</v>
      </c>
      <c r="C17" s="190">
        <v>-0.59599999999999997</v>
      </c>
      <c r="D17" s="190">
        <v>-2.3140000000000001</v>
      </c>
      <c r="E17" s="190">
        <v>-4.5330000000000004</v>
      </c>
      <c r="F17" s="190">
        <v>-7.3369999999999997</v>
      </c>
      <c r="G17" s="190">
        <v>-10.657</v>
      </c>
      <c r="H17" s="190">
        <v>-14.574</v>
      </c>
      <c r="I17" s="190">
        <v>-18.937999999999999</v>
      </c>
      <c r="J17" s="190">
        <v>-23.797999999999998</v>
      </c>
      <c r="K17" s="190">
        <v>-28.931999999999999</v>
      </c>
      <c r="L17" s="190">
        <v>-34.53</v>
      </c>
      <c r="M17" s="190">
        <v>-40.345999999999997</v>
      </c>
      <c r="N17" s="189">
        <v>-39.414999999999999</v>
      </c>
      <c r="O17" s="189">
        <v>-185.959</v>
      </c>
    </row>
    <row r="18" spans="1:15" ht="15" customHeight="1">
      <c r="A18" s="129" t="s">
        <v>7</v>
      </c>
      <c r="B18" s="125" t="s">
        <v>3</v>
      </c>
      <c r="C18" s="190">
        <v>3.7999999999999999E-2</v>
      </c>
      <c r="D18" s="190">
        <v>0.28699999999999998</v>
      </c>
      <c r="E18" s="190">
        <v>0.67500000000000004</v>
      </c>
      <c r="F18" s="190">
        <v>1.2470000000000001</v>
      </c>
      <c r="G18" s="190">
        <v>2.0070000000000001</v>
      </c>
      <c r="H18" s="190">
        <v>2.9750000000000001</v>
      </c>
      <c r="I18" s="190">
        <v>4.1500000000000004</v>
      </c>
      <c r="J18" s="190">
        <v>5.5659999999999998</v>
      </c>
      <c r="K18" s="190">
        <v>7.2389999999999999</v>
      </c>
      <c r="L18" s="190">
        <v>9.2059999999999995</v>
      </c>
      <c r="M18" s="190">
        <v>11.455</v>
      </c>
      <c r="N18" s="189">
        <v>7.1910000000000007</v>
      </c>
      <c r="O18" s="189">
        <v>44.807000000000002</v>
      </c>
    </row>
    <row r="19" spans="1:15" ht="3" customHeight="1">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c r="A20" s="158" t="s">
        <v>50</v>
      </c>
      <c r="B20" s="125" t="s">
        <v>3</v>
      </c>
      <c r="C20" s="190">
        <v>-0.55799999999999994</v>
      </c>
      <c r="D20" s="190">
        <v>-2.0270000000000001</v>
      </c>
      <c r="E20" s="190">
        <v>-3.8580000000000005</v>
      </c>
      <c r="F20" s="190">
        <v>-6.09</v>
      </c>
      <c r="G20" s="190">
        <v>-8.65</v>
      </c>
      <c r="H20" s="190">
        <v>-11.599</v>
      </c>
      <c r="I20" s="190">
        <v>-14.787999999999998</v>
      </c>
      <c r="J20" s="190">
        <v>-18.231999999999999</v>
      </c>
      <c r="K20" s="190">
        <v>-21.692999999999998</v>
      </c>
      <c r="L20" s="190">
        <v>-25.324000000000002</v>
      </c>
      <c r="M20" s="190">
        <v>-28.890999999999998</v>
      </c>
      <c r="N20" s="189">
        <v>-32.224000000000004</v>
      </c>
      <c r="O20" s="189">
        <v>-141.15199999999999</v>
      </c>
    </row>
    <row r="21" spans="1:15" ht="15" customHeight="1">
      <c r="A21" s="124"/>
      <c r="B21" s="125"/>
      <c r="C21" s="126"/>
      <c r="D21" s="126"/>
      <c r="E21" s="126"/>
      <c r="F21" s="126"/>
      <c r="G21" s="126"/>
      <c r="H21" s="126"/>
      <c r="I21" s="126"/>
      <c r="J21" s="126"/>
      <c r="K21" s="126"/>
      <c r="L21" s="126"/>
      <c r="M21" s="126"/>
      <c r="N21" s="126"/>
      <c r="O21" s="126"/>
    </row>
    <row r="22" spans="1:15" ht="15" customHeight="1">
      <c r="A22" s="130" t="s">
        <v>62</v>
      </c>
      <c r="B22" s="125" t="s">
        <v>3</v>
      </c>
      <c r="C22" s="190">
        <v>-0.58099999999999996</v>
      </c>
      <c r="D22" s="190">
        <v>-2.5129999999999999</v>
      </c>
      <c r="E22" s="190">
        <v>-4.9190000000000005</v>
      </c>
      <c r="F22" s="190">
        <v>-7.9909999999999997</v>
      </c>
      <c r="G22" s="190">
        <v>-11.126000000000001</v>
      </c>
      <c r="H22" s="190">
        <v>-14.911</v>
      </c>
      <c r="I22" s="190">
        <v>-19.016999999999999</v>
      </c>
      <c r="J22" s="190">
        <v>-23.564</v>
      </c>
      <c r="K22" s="190">
        <v>-28.383999999999997</v>
      </c>
      <c r="L22" s="190">
        <v>-33.365000000000002</v>
      </c>
      <c r="M22" s="190">
        <v>-38.585000000000001</v>
      </c>
      <c r="N22" s="189">
        <v>-41.46</v>
      </c>
      <c r="O22" s="189">
        <v>-184.375</v>
      </c>
    </row>
    <row r="23" spans="1:15" ht="15" customHeight="1">
      <c r="A23" s="124"/>
      <c r="B23" s="125"/>
      <c r="C23" s="126"/>
      <c r="D23" s="126"/>
      <c r="E23" s="126"/>
      <c r="F23" s="126"/>
      <c r="G23" s="126"/>
      <c r="H23" s="126"/>
      <c r="I23" s="126"/>
      <c r="J23" s="126"/>
      <c r="K23" s="126"/>
      <c r="L23" s="126"/>
      <c r="M23" s="126"/>
      <c r="N23" s="126"/>
      <c r="O23" s="126"/>
    </row>
    <row r="24" spans="1:15" ht="30" customHeight="1">
      <c r="A24" s="59" t="s">
        <v>104</v>
      </c>
      <c r="B24" s="131" t="s">
        <v>3</v>
      </c>
      <c r="C24" s="191">
        <v>-3.6380000000000003</v>
      </c>
      <c r="D24" s="191">
        <v>-8.5269999999999992</v>
      </c>
      <c r="E24" s="191">
        <v>-13.974999999999998</v>
      </c>
      <c r="F24" s="191">
        <v>-19.518000000000001</v>
      </c>
      <c r="G24" s="191">
        <v>-25.837</v>
      </c>
      <c r="H24" s="191">
        <v>-32.500999999999998</v>
      </c>
      <c r="I24" s="191">
        <v>-39.802999999999997</v>
      </c>
      <c r="J24" s="191">
        <v>-47.809999999999995</v>
      </c>
      <c r="K24" s="191">
        <v>-56.59</v>
      </c>
      <c r="L24" s="191">
        <v>-66.295999999999992</v>
      </c>
      <c r="M24" s="191">
        <v>-77.187999999999988</v>
      </c>
      <c r="N24" s="191">
        <v>-100.358</v>
      </c>
      <c r="O24" s="191">
        <v>-388.04499999999996</v>
      </c>
    </row>
    <row r="25" spans="1:15" ht="15" customHeight="1">
      <c r="A25" s="132"/>
      <c r="B25" s="132"/>
      <c r="C25" s="133"/>
      <c r="D25" s="133"/>
      <c r="E25" s="133"/>
      <c r="F25" s="133"/>
      <c r="G25" s="133"/>
      <c r="H25" s="133"/>
      <c r="I25" s="133"/>
      <c r="J25" s="133"/>
      <c r="K25" s="133"/>
      <c r="L25" s="133"/>
      <c r="M25" s="133"/>
      <c r="N25" s="133"/>
      <c r="O25" s="134"/>
    </row>
    <row r="26" spans="1:15" ht="15" customHeight="1">
      <c r="A26" s="64" t="s">
        <v>64</v>
      </c>
      <c r="B26" s="135"/>
      <c r="C26" s="136"/>
      <c r="D26" s="136"/>
      <c r="E26" s="136"/>
      <c r="F26" s="136"/>
      <c r="G26" s="136"/>
      <c r="H26" s="136"/>
      <c r="I26" s="136"/>
      <c r="J26" s="136"/>
      <c r="K26" s="136"/>
      <c r="L26" s="136"/>
      <c r="M26" s="136"/>
      <c r="N26" s="136"/>
      <c r="O26" s="136"/>
    </row>
    <row r="27" spans="1:15" ht="15" customHeight="1">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c r="A28" s="176" t="s">
        <v>117</v>
      </c>
      <c r="B28" s="141">
        <v>-1832.3809999999994</v>
      </c>
      <c r="C28" s="151">
        <v>-1868.8890000000001</v>
      </c>
      <c r="D28" s="151">
        <v>-1721.7849999999999</v>
      </c>
      <c r="E28" s="151">
        <v>-1700.9169999999999</v>
      </c>
      <c r="F28" s="151">
        <v>-1930.2940000000008</v>
      </c>
      <c r="G28" s="151">
        <v>-1964.1049999999991</v>
      </c>
      <c r="H28" s="151">
        <v>-2172.2220000000016</v>
      </c>
      <c r="I28" s="151">
        <v>-2272.588999999999</v>
      </c>
      <c r="J28" s="151">
        <v>-2418.3920000000003</v>
      </c>
      <c r="K28" s="151">
        <v>-2693.8889999999983</v>
      </c>
      <c r="L28" s="151">
        <v>-2663.5459999999989</v>
      </c>
      <c r="M28" s="151">
        <v>-2608.5659999999989</v>
      </c>
      <c r="N28" s="151">
        <v>-9489.3230000000021</v>
      </c>
      <c r="O28" s="151">
        <v>-22146.304999999997</v>
      </c>
    </row>
    <row r="29" spans="1:15" ht="15" customHeight="1">
      <c r="A29" s="61"/>
      <c r="B29" s="62"/>
      <c r="C29" s="62"/>
      <c r="D29" s="62"/>
      <c r="E29" s="62"/>
      <c r="F29" s="62"/>
      <c r="G29" s="62"/>
      <c r="H29" s="62"/>
      <c r="I29" s="62"/>
      <c r="J29" s="62"/>
      <c r="K29" s="62"/>
      <c r="L29" s="62"/>
      <c r="M29" s="62"/>
      <c r="N29" s="62"/>
      <c r="O29" s="62"/>
    </row>
    <row r="30" spans="1:15" ht="15" customHeight="1">
      <c r="A30" s="64" t="s">
        <v>65</v>
      </c>
      <c r="B30" s="62"/>
      <c r="C30" s="65"/>
      <c r="D30" s="65"/>
      <c r="E30" s="65"/>
      <c r="F30" s="65"/>
      <c r="G30" s="65"/>
      <c r="H30" s="65"/>
      <c r="I30" s="65"/>
      <c r="J30" s="65"/>
      <c r="K30" s="65"/>
      <c r="L30" s="65"/>
      <c r="M30" s="65"/>
      <c r="N30" s="62"/>
      <c r="O30" s="62"/>
    </row>
    <row r="31" spans="1:15" ht="15" customHeight="1">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ht="15" customHeight="1">
      <c r="A32" s="67" t="s">
        <v>117</v>
      </c>
      <c r="B32" s="141">
        <v>28199.312999999998</v>
      </c>
      <c r="C32" s="69">
        <v>30106.386999999999</v>
      </c>
      <c r="D32" s="69">
        <v>31894.798000000003</v>
      </c>
      <c r="E32" s="69">
        <v>33662.245000000003</v>
      </c>
      <c r="F32" s="69">
        <v>35646.298000000003</v>
      </c>
      <c r="G32" s="69">
        <v>37651.995000000003</v>
      </c>
      <c r="H32" s="69">
        <v>39851.646999999997</v>
      </c>
      <c r="I32" s="69">
        <v>42136.184000000001</v>
      </c>
      <c r="J32" s="69">
        <v>44563.363999999994</v>
      </c>
      <c r="K32" s="69">
        <v>47233.228000000003</v>
      </c>
      <c r="L32" s="69">
        <v>49869.999000000003</v>
      </c>
      <c r="M32" s="69">
        <v>52447.548999999999</v>
      </c>
      <c r="N32" s="51" t="s">
        <v>3</v>
      </c>
      <c r="O32" s="51" t="s">
        <v>3</v>
      </c>
    </row>
    <row r="33" spans="1:15" ht="15" customHeight="1">
      <c r="A33" s="61"/>
      <c r="B33" s="62"/>
      <c r="C33" s="62"/>
      <c r="D33" s="62"/>
      <c r="E33" s="62"/>
      <c r="F33" s="62"/>
      <c r="G33" s="62"/>
      <c r="H33" s="62"/>
      <c r="I33" s="62"/>
      <c r="J33" s="62"/>
      <c r="K33" s="62"/>
      <c r="L33" s="62"/>
      <c r="M33" s="62"/>
      <c r="N33" s="62"/>
      <c r="O33" s="62"/>
    </row>
    <row r="34" spans="1:15" ht="15" customHeight="1">
      <c r="A34" s="64" t="s">
        <v>66</v>
      </c>
      <c r="B34" s="62"/>
      <c r="C34" s="65"/>
      <c r="D34" s="65"/>
      <c r="E34" s="65"/>
      <c r="F34" s="65"/>
      <c r="G34" s="65"/>
      <c r="H34" s="65"/>
      <c r="I34" s="65"/>
      <c r="J34" s="65"/>
      <c r="K34" s="65"/>
      <c r="L34" s="65"/>
      <c r="M34" s="65"/>
      <c r="N34" s="62"/>
      <c r="O34" s="62"/>
    </row>
    <row r="35" spans="1:15" ht="15" customHeight="1">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ht="15" customHeight="1">
      <c r="A36" s="67" t="s">
        <v>117</v>
      </c>
      <c r="B36" s="140">
        <v>-6.356215750736907</v>
      </c>
      <c r="C36" s="173">
        <v>-6.2069999999999999</v>
      </c>
      <c r="D36" s="173">
        <v>-5.5039999999999996</v>
      </c>
      <c r="E36" s="173">
        <v>-5.2439999999999998</v>
      </c>
      <c r="F36" s="173">
        <v>-5.7409999999999997</v>
      </c>
      <c r="G36" s="173">
        <v>-5.6349999999999998</v>
      </c>
      <c r="H36" s="173">
        <v>-6.0090000000000003</v>
      </c>
      <c r="I36" s="173">
        <v>-6.0620000000000003</v>
      </c>
      <c r="J36" s="173">
        <v>-6.2190000000000003</v>
      </c>
      <c r="K36" s="173">
        <v>-6.6790000000000003</v>
      </c>
      <c r="L36" s="173">
        <v>-6.3689999999999998</v>
      </c>
      <c r="M36" s="173">
        <v>-6.0179999999999998</v>
      </c>
      <c r="N36" s="173">
        <v>-5.6369999999999996</v>
      </c>
      <c r="O36" s="173">
        <v>-5.9820000000000002</v>
      </c>
    </row>
    <row r="37" spans="1:15" ht="15" customHeight="1">
      <c r="A37" s="61"/>
      <c r="B37" s="62"/>
      <c r="C37" s="62"/>
      <c r="D37" s="62"/>
      <c r="E37" s="62"/>
      <c r="F37" s="62"/>
      <c r="G37" s="62"/>
      <c r="H37" s="62"/>
      <c r="I37" s="62"/>
      <c r="J37" s="62"/>
      <c r="K37" s="62"/>
      <c r="L37" s="62"/>
      <c r="M37" s="62"/>
      <c r="N37" s="62"/>
      <c r="O37" s="62"/>
    </row>
    <row r="38" spans="1:15" ht="15" customHeight="1">
      <c r="A38" s="64" t="s">
        <v>67</v>
      </c>
      <c r="B38" s="62"/>
      <c r="C38" s="65"/>
      <c r="D38" s="65"/>
      <c r="E38" s="65"/>
      <c r="F38" s="65"/>
      <c r="G38" s="65"/>
      <c r="H38" s="65"/>
      <c r="I38" s="65"/>
      <c r="J38" s="65"/>
      <c r="K38" s="65"/>
      <c r="L38" s="65"/>
      <c r="M38" s="65"/>
      <c r="N38" s="62"/>
      <c r="O38" s="62"/>
    </row>
    <row r="39" spans="1:15" ht="15" customHeight="1">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ht="15" customHeight="1">
      <c r="A40" s="67" t="s">
        <v>117</v>
      </c>
      <c r="B40" s="140">
        <v>97.818585463700003</v>
      </c>
      <c r="C40" s="173">
        <v>99.983000000000004</v>
      </c>
      <c r="D40" s="173">
        <v>101.964</v>
      </c>
      <c r="E40" s="173">
        <v>103.77500000000001</v>
      </c>
      <c r="F40" s="173">
        <v>106.026</v>
      </c>
      <c r="G40" s="173">
        <v>108.026</v>
      </c>
      <c r="H40" s="173">
        <v>110.245</v>
      </c>
      <c r="I40" s="173">
        <v>112.396</v>
      </c>
      <c r="J40" s="173">
        <v>114.6</v>
      </c>
      <c r="K40" s="173">
        <v>117.10899999999999</v>
      </c>
      <c r="L40" s="173">
        <v>119.247</v>
      </c>
      <c r="M40" s="173">
        <v>120.997</v>
      </c>
      <c r="N40" s="51" t="s">
        <v>3</v>
      </c>
      <c r="O40" s="51" t="s">
        <v>3</v>
      </c>
    </row>
    <row r="41" spans="1:15" s="73" customFormat="1" ht="15" customHeight="1">
      <c r="A41" s="70"/>
      <c r="B41" s="71"/>
      <c r="C41" s="71"/>
      <c r="D41" s="71"/>
      <c r="E41" s="71"/>
      <c r="F41" s="71"/>
      <c r="G41" s="71"/>
      <c r="H41" s="71"/>
      <c r="I41" s="71"/>
      <c r="J41" s="71"/>
      <c r="K41" s="71"/>
      <c r="L41" s="71"/>
      <c r="M41" s="71"/>
      <c r="N41" s="72"/>
      <c r="O41" s="72"/>
    </row>
    <row r="42" spans="1:15" s="73" customFormat="1" ht="15" customHeight="1">
      <c r="A42" s="66"/>
      <c r="B42" s="74"/>
      <c r="C42" s="74"/>
      <c r="D42" s="74"/>
      <c r="E42" s="74"/>
      <c r="F42" s="74"/>
      <c r="G42" s="74"/>
      <c r="H42" s="74"/>
      <c r="I42" s="74"/>
      <c r="J42" s="74"/>
      <c r="K42" s="74"/>
      <c r="L42" s="74"/>
      <c r="M42" s="74"/>
    </row>
    <row r="43" spans="1:15" s="73" customFormat="1" ht="30.75" customHeight="1">
      <c r="B43" s="215" t="s">
        <v>118</v>
      </c>
      <c r="C43" s="215"/>
      <c r="D43" s="215"/>
      <c r="E43" s="215"/>
      <c r="F43" s="215"/>
      <c r="G43" s="215"/>
      <c r="H43" s="215"/>
      <c r="I43" s="215"/>
      <c r="J43" s="215"/>
      <c r="K43" s="215"/>
      <c r="L43" s="215"/>
      <c r="M43" s="215"/>
      <c r="N43" s="75"/>
    </row>
    <row r="44" spans="1:15" s="73" customFormat="1" ht="15" customHeight="1">
      <c r="B44" s="169"/>
      <c r="C44" s="169"/>
      <c r="D44" s="169"/>
      <c r="E44" s="169"/>
      <c r="F44" s="169"/>
      <c r="G44" s="169"/>
      <c r="H44" s="169"/>
      <c r="I44" s="169"/>
      <c r="J44" s="169"/>
      <c r="K44" s="169"/>
      <c r="L44" s="169"/>
      <c r="M44" s="169"/>
      <c r="N44" s="75"/>
    </row>
    <row r="45" spans="1:15" s="73" customFormat="1" ht="15" customHeight="1">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c r="A46" s="64" t="s">
        <v>68</v>
      </c>
      <c r="B46" s="64"/>
      <c r="C46" s="137"/>
      <c r="D46" s="137"/>
      <c r="E46" s="137"/>
      <c r="F46" s="137"/>
      <c r="G46" s="137"/>
      <c r="H46" s="137"/>
      <c r="I46" s="137"/>
      <c r="J46" s="137"/>
      <c r="K46" s="137"/>
      <c r="L46" s="137"/>
      <c r="M46" s="137"/>
      <c r="N46" s="138"/>
      <c r="O46" s="78"/>
    </row>
    <row r="47" spans="1:15" s="28" customFormat="1" ht="15" customHeight="1">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c r="A48" s="67" t="s">
        <v>117</v>
      </c>
      <c r="B48" s="139">
        <v>2.734</v>
      </c>
      <c r="C48" s="140">
        <v>2.0139999999999998</v>
      </c>
      <c r="D48" s="140">
        <v>1.7130000000000001</v>
      </c>
      <c r="E48" s="140">
        <v>1.645</v>
      </c>
      <c r="F48" s="140">
        <v>1.623</v>
      </c>
      <c r="G48" s="140">
        <v>1.661</v>
      </c>
      <c r="H48" s="140">
        <v>1.6930000000000001</v>
      </c>
      <c r="I48" s="140">
        <v>1.69</v>
      </c>
      <c r="J48" s="140">
        <v>1.7070000000000001</v>
      </c>
      <c r="K48" s="140">
        <v>1.6879999999999999</v>
      </c>
      <c r="L48" s="140">
        <v>1.6559999999999999</v>
      </c>
      <c r="M48" s="140">
        <v>1.615</v>
      </c>
      <c r="N48" s="80"/>
      <c r="O48" s="80"/>
    </row>
    <row r="49" spans="1:15" s="79" customFormat="1" ht="15" customHeight="1">
      <c r="A49" s="64" t="s">
        <v>69</v>
      </c>
      <c r="B49" s="115"/>
      <c r="C49" s="137"/>
      <c r="D49" s="137"/>
      <c r="E49" s="137"/>
      <c r="F49" s="137"/>
      <c r="G49" s="137"/>
      <c r="H49" s="137"/>
      <c r="I49" s="137"/>
      <c r="J49" s="137"/>
      <c r="K49" s="137"/>
      <c r="L49" s="137"/>
      <c r="M49" s="137"/>
      <c r="N49" s="78"/>
      <c r="O49" s="78"/>
    </row>
    <row r="50" spans="1:15" s="28" customFormat="1" ht="15" customHeight="1">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c r="A51" s="67" t="s">
        <v>117</v>
      </c>
      <c r="B51" s="141">
        <v>23290.9</v>
      </c>
      <c r="C51" s="141">
        <v>23760</v>
      </c>
      <c r="D51" s="141">
        <v>24167</v>
      </c>
      <c r="E51" s="141">
        <v>24564.6</v>
      </c>
      <c r="F51" s="141">
        <v>24963.3</v>
      </c>
      <c r="G51" s="141">
        <v>25377.9</v>
      </c>
      <c r="H51" s="141">
        <v>25807.599999999999</v>
      </c>
      <c r="I51" s="141">
        <v>26243.8</v>
      </c>
      <c r="J51" s="141">
        <v>26691.9</v>
      </c>
      <c r="K51" s="141">
        <v>27142.5</v>
      </c>
      <c r="L51" s="141">
        <v>27592.1</v>
      </c>
      <c r="M51" s="141">
        <v>28037.8</v>
      </c>
      <c r="N51" s="80"/>
      <c r="O51" s="80"/>
    </row>
    <row r="52" spans="1:15" s="79" customFormat="1" ht="15" customHeight="1">
      <c r="A52" s="64" t="s">
        <v>70</v>
      </c>
      <c r="B52" s="142"/>
      <c r="C52" s="142"/>
      <c r="D52" s="142"/>
      <c r="E52" s="142"/>
      <c r="F52" s="142"/>
      <c r="G52" s="142"/>
      <c r="H52" s="142"/>
      <c r="I52" s="142"/>
      <c r="J52" s="142"/>
      <c r="K52" s="142"/>
      <c r="L52" s="142"/>
      <c r="M52" s="142"/>
      <c r="N52" s="78"/>
      <c r="O52" s="78"/>
    </row>
    <row r="53" spans="1:15" s="28" customFormat="1" ht="15" customHeight="1">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c r="A54" s="67" t="s">
        <v>117</v>
      </c>
      <c r="B54" s="141">
        <v>29166.2</v>
      </c>
      <c r="C54" s="141">
        <v>30408.1</v>
      </c>
      <c r="D54" s="141">
        <v>31570.7</v>
      </c>
      <c r="E54" s="141">
        <v>32730.400000000001</v>
      </c>
      <c r="F54" s="141">
        <v>33922.9</v>
      </c>
      <c r="G54" s="141">
        <v>35173.699999999997</v>
      </c>
      <c r="H54" s="141">
        <v>36480</v>
      </c>
      <c r="I54" s="141">
        <v>37833.4</v>
      </c>
      <c r="J54" s="141">
        <v>39244.300000000003</v>
      </c>
      <c r="K54" s="141">
        <v>40701.5</v>
      </c>
      <c r="L54" s="141">
        <v>42198.9</v>
      </c>
      <c r="M54" s="141">
        <v>43734.3</v>
      </c>
      <c r="N54" s="80"/>
      <c r="O54" s="80"/>
    </row>
    <row r="55" spans="1:15" s="79" customFormat="1" ht="15" customHeight="1">
      <c r="A55" s="64" t="s">
        <v>71</v>
      </c>
      <c r="B55" s="142"/>
      <c r="C55" s="142"/>
      <c r="D55" s="142"/>
      <c r="E55" s="142"/>
      <c r="F55" s="142"/>
      <c r="G55" s="142"/>
      <c r="H55" s="142"/>
      <c r="I55" s="142"/>
      <c r="J55" s="142"/>
      <c r="K55" s="142"/>
      <c r="L55" s="142"/>
      <c r="M55" s="142"/>
      <c r="N55" s="78"/>
      <c r="O55" s="78"/>
    </row>
    <row r="56" spans="1:15" s="28" customFormat="1" ht="15" customHeight="1">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c r="A57" s="67" t="s">
        <v>117</v>
      </c>
      <c r="B57" s="141">
        <v>28823</v>
      </c>
      <c r="C57" s="141">
        <v>30111.4</v>
      </c>
      <c r="D57" s="141">
        <v>31280.6</v>
      </c>
      <c r="E57" s="141">
        <v>32437.7</v>
      </c>
      <c r="F57" s="141">
        <v>33620.199999999997</v>
      </c>
      <c r="G57" s="141">
        <v>34854.699999999997</v>
      </c>
      <c r="H57" s="141">
        <v>36148.400000000001</v>
      </c>
      <c r="I57" s="141">
        <v>37489</v>
      </c>
      <c r="J57" s="141">
        <v>38886.1</v>
      </c>
      <c r="K57" s="141">
        <v>40332.800000000003</v>
      </c>
      <c r="L57" s="141">
        <v>41820.699999999997</v>
      </c>
      <c r="M57" s="141">
        <v>43346</v>
      </c>
      <c r="N57" s="80"/>
      <c r="O57" s="80"/>
    </row>
    <row r="58" spans="1:15" s="79" customFormat="1" ht="15" customHeight="1">
      <c r="A58" s="64" t="s">
        <v>72</v>
      </c>
      <c r="B58" s="115"/>
      <c r="C58" s="137"/>
      <c r="D58" s="137"/>
      <c r="E58" s="137"/>
      <c r="F58" s="137"/>
      <c r="G58" s="137"/>
      <c r="H58" s="137"/>
      <c r="I58" s="137"/>
      <c r="J58" s="137"/>
      <c r="K58" s="137"/>
      <c r="L58" s="137"/>
      <c r="M58" s="137"/>
      <c r="N58" s="78"/>
      <c r="O58" s="78"/>
    </row>
    <row r="59" spans="1:15" s="28" customFormat="1" ht="15" customHeight="1">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c r="A60" s="67" t="s">
        <v>117</v>
      </c>
      <c r="B60" s="139">
        <v>168.24299999999999</v>
      </c>
      <c r="C60" s="140">
        <v>170.63399999999999</v>
      </c>
      <c r="D60" s="140">
        <v>173.316</v>
      </c>
      <c r="E60" s="140">
        <v>173.892</v>
      </c>
      <c r="F60" s="140">
        <v>174.49100000000001</v>
      </c>
      <c r="G60" s="140">
        <v>175.13900000000001</v>
      </c>
      <c r="H60" s="140">
        <v>175.839</v>
      </c>
      <c r="I60" s="140">
        <v>176.57400000000001</v>
      </c>
      <c r="J60" s="140">
        <v>177.29400000000001</v>
      </c>
      <c r="K60" s="140">
        <v>177.874</v>
      </c>
      <c r="L60" s="140">
        <v>178.45400000000001</v>
      </c>
      <c r="M60" s="140">
        <v>179.005</v>
      </c>
      <c r="N60" s="80"/>
      <c r="O60" s="80"/>
    </row>
    <row r="61" spans="1:15" s="79" customFormat="1" ht="15" customHeight="1">
      <c r="A61" s="64" t="s">
        <v>73</v>
      </c>
      <c r="B61" s="115"/>
      <c r="C61" s="137"/>
      <c r="D61" s="137"/>
      <c r="E61" s="137"/>
      <c r="F61" s="137"/>
      <c r="G61" s="137"/>
      <c r="H61" s="137"/>
      <c r="I61" s="137"/>
      <c r="J61" s="137"/>
      <c r="K61" s="137"/>
      <c r="L61" s="137"/>
      <c r="M61" s="137"/>
      <c r="N61" s="78"/>
      <c r="O61" s="78"/>
    </row>
    <row r="62" spans="1:15" s="28" customFormat="1" ht="15" customHeight="1">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c r="A63" s="67" t="s">
        <v>117</v>
      </c>
      <c r="B63" s="143">
        <v>4.1879999999999997</v>
      </c>
      <c r="C63" s="144">
        <v>4.0810000000000004</v>
      </c>
      <c r="D63" s="144">
        <v>3.911</v>
      </c>
      <c r="E63" s="144">
        <v>3.879</v>
      </c>
      <c r="F63" s="144">
        <v>3.8479999999999999</v>
      </c>
      <c r="G63" s="144">
        <v>3.8149999999999999</v>
      </c>
      <c r="H63" s="144">
        <v>3.7839999999999998</v>
      </c>
      <c r="I63" s="144">
        <v>3.7610000000000001</v>
      </c>
      <c r="J63" s="144">
        <v>3.742</v>
      </c>
      <c r="K63" s="144">
        <v>3.722</v>
      </c>
      <c r="L63" s="144">
        <v>3.6960000000000002</v>
      </c>
      <c r="M63" s="144">
        <v>3.6629999999999998</v>
      </c>
      <c r="N63" s="80"/>
      <c r="O63" s="175"/>
    </row>
    <row r="64" spans="1:15" s="79" customFormat="1" ht="15" customHeight="1">
      <c r="A64" s="64" t="s">
        <v>81</v>
      </c>
      <c r="B64" s="115"/>
      <c r="C64" s="142"/>
      <c r="D64" s="142"/>
      <c r="E64" s="142"/>
      <c r="F64" s="142"/>
      <c r="G64" s="142"/>
      <c r="H64" s="142"/>
      <c r="I64" s="142"/>
      <c r="J64" s="142"/>
      <c r="K64" s="142"/>
      <c r="L64" s="142"/>
      <c r="M64" s="142"/>
      <c r="N64" s="78"/>
      <c r="O64" s="78"/>
    </row>
    <row r="65" spans="1:15" s="28" customFormat="1" ht="15" customHeight="1">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c r="A67" s="64" t="s">
        <v>75</v>
      </c>
      <c r="B67" s="115"/>
      <c r="C67" s="142"/>
      <c r="D67" s="142"/>
      <c r="E67" s="142"/>
      <c r="F67" s="142"/>
      <c r="G67" s="142"/>
      <c r="H67" s="142"/>
      <c r="I67" s="142"/>
      <c r="J67" s="142"/>
      <c r="K67" s="142"/>
      <c r="L67" s="142"/>
      <c r="M67" s="142"/>
      <c r="N67" s="78"/>
      <c r="O67" s="78"/>
    </row>
    <row r="68" spans="1:15" s="28" customFormat="1" ht="15" customHeight="1">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c r="A70" s="64" t="s">
        <v>82</v>
      </c>
      <c r="B70" s="115"/>
      <c r="C70" s="142"/>
      <c r="D70" s="142"/>
      <c r="E70" s="142"/>
      <c r="F70" s="142"/>
      <c r="G70" s="142"/>
      <c r="H70" s="142"/>
      <c r="I70" s="142"/>
      <c r="J70" s="142"/>
      <c r="K70" s="142"/>
      <c r="L70" s="142"/>
      <c r="M70" s="142"/>
      <c r="N70" s="78"/>
      <c r="O70" s="78"/>
    </row>
    <row r="71" spans="1:15" s="28" customFormat="1" ht="15" customHeight="1">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c r="A72" s="67" t="s">
        <v>117</v>
      </c>
      <c r="B72" s="139">
        <v>168.291</v>
      </c>
      <c r="C72" s="140">
        <v>173.99600000000001</v>
      </c>
      <c r="D72" s="140">
        <v>179.66300000000001</v>
      </c>
      <c r="E72" s="140">
        <v>185.26400000000001</v>
      </c>
      <c r="F72" s="140">
        <v>190.786</v>
      </c>
      <c r="G72" s="140">
        <v>196.358</v>
      </c>
      <c r="H72" s="140">
        <v>202.001</v>
      </c>
      <c r="I72" s="140">
        <v>207.744</v>
      </c>
      <c r="J72" s="140">
        <v>213.62</v>
      </c>
      <c r="K72" s="140">
        <v>219.649</v>
      </c>
      <c r="L72" s="140">
        <v>225.83199999999999</v>
      </c>
      <c r="M72" s="140">
        <v>232.166</v>
      </c>
      <c r="N72" s="80"/>
      <c r="O72" s="80"/>
    </row>
    <row r="73" spans="1:15" ht="15" customHeight="1">
      <c r="A73" s="41"/>
      <c r="B73" s="41"/>
      <c r="C73" s="145"/>
      <c r="D73" s="145"/>
      <c r="E73" s="145"/>
      <c r="F73" s="145"/>
      <c r="G73" s="145"/>
      <c r="H73" s="145"/>
      <c r="I73" s="145"/>
      <c r="J73" s="145"/>
      <c r="K73" s="145"/>
      <c r="L73" s="145"/>
      <c r="M73" s="145"/>
      <c r="N73" s="146"/>
      <c r="O73" s="146"/>
    </row>
    <row r="74" spans="1:15" ht="15" customHeight="1">
      <c r="A74" s="136"/>
      <c r="B74" s="136"/>
      <c r="C74" s="136"/>
      <c r="D74" s="136"/>
      <c r="E74" s="136"/>
      <c r="F74" s="136"/>
      <c r="G74" s="136"/>
      <c r="H74" s="136"/>
      <c r="I74" s="136"/>
      <c r="J74" s="136"/>
      <c r="K74" s="136"/>
      <c r="L74" s="136"/>
      <c r="M74" s="136"/>
      <c r="N74" s="61"/>
      <c r="O74" s="61"/>
    </row>
    <row r="75" spans="1:15" ht="15" customHeight="1">
      <c r="A75" s="224" t="s">
        <v>32</v>
      </c>
      <c r="B75" s="224"/>
      <c r="C75" s="224"/>
      <c r="D75" s="224"/>
      <c r="E75" s="224"/>
      <c r="F75" s="224"/>
      <c r="G75" s="224"/>
      <c r="H75" s="224"/>
      <c r="I75" s="224"/>
      <c r="J75" s="224"/>
      <c r="K75" s="224"/>
      <c r="L75" s="224"/>
      <c r="M75" s="224"/>
      <c r="N75" s="95"/>
      <c r="O75" s="95"/>
    </row>
    <row r="76" spans="1:15" ht="15" customHeight="1">
      <c r="A76" s="170"/>
      <c r="B76" s="170"/>
      <c r="C76" s="170"/>
      <c r="D76" s="170"/>
      <c r="E76" s="170"/>
      <c r="F76" s="170"/>
      <c r="G76" s="170"/>
      <c r="H76" s="170"/>
      <c r="I76" s="170"/>
      <c r="J76" s="170"/>
      <c r="K76" s="170"/>
      <c r="L76" s="170"/>
      <c r="M76" s="170"/>
      <c r="N76" s="95"/>
      <c r="O76" s="95"/>
    </row>
    <row r="77" spans="1:15" s="4" customFormat="1" ht="15" customHeight="1">
      <c r="A77" s="216" t="s">
        <v>24</v>
      </c>
      <c r="B77" s="216"/>
      <c r="C77" s="216"/>
      <c r="D77" s="216"/>
      <c r="E77" s="216"/>
      <c r="F77" s="216"/>
      <c r="G77" s="216"/>
      <c r="H77" s="216"/>
      <c r="I77" s="216"/>
      <c r="J77" s="216"/>
      <c r="K77" s="216"/>
      <c r="L77" s="216"/>
      <c r="M77" s="216"/>
      <c r="N77" s="96"/>
      <c r="O77" s="96"/>
    </row>
    <row r="78" spans="1:15" s="4" customFormat="1" ht="15" customHeight="1">
      <c r="A78" s="93"/>
      <c r="B78" s="54"/>
      <c r="C78" s="54"/>
      <c r="D78" s="54"/>
      <c r="E78" s="54"/>
      <c r="F78" s="54"/>
      <c r="G78" s="54"/>
      <c r="H78" s="54"/>
      <c r="I78" s="54"/>
      <c r="J78" s="54"/>
      <c r="K78" s="54"/>
      <c r="L78" s="54"/>
      <c r="M78" s="54"/>
      <c r="N78" s="94"/>
      <c r="O78" s="94"/>
    </row>
    <row r="79" spans="1:15" s="4" customFormat="1" ht="15" customHeight="1">
      <c r="A79" s="212" t="s">
        <v>25</v>
      </c>
      <c r="B79" s="212"/>
      <c r="C79" s="212"/>
      <c r="D79" s="212"/>
      <c r="E79" s="212"/>
      <c r="F79" s="212"/>
      <c r="G79" s="212"/>
      <c r="H79" s="212"/>
      <c r="I79" s="212"/>
      <c r="J79" s="212"/>
      <c r="K79" s="212"/>
      <c r="L79" s="212"/>
      <c r="M79" s="212"/>
      <c r="N79" s="93"/>
      <c r="O79" s="93"/>
    </row>
    <row r="80" spans="1:15" ht="15" customHeight="1">
      <c r="A80" s="136"/>
      <c r="B80" s="136"/>
      <c r="C80" s="136"/>
      <c r="D80" s="136"/>
      <c r="E80" s="136"/>
      <c r="F80" s="136"/>
      <c r="G80" s="136"/>
      <c r="H80" s="136"/>
      <c r="I80" s="136"/>
      <c r="J80" s="136"/>
      <c r="K80" s="136"/>
      <c r="L80" s="136"/>
      <c r="M80" s="136"/>
      <c r="N80" s="61"/>
      <c r="O80" s="61"/>
    </row>
    <row r="81" spans="1:15" ht="15" customHeight="1">
      <c r="A81" s="212" t="s">
        <v>20</v>
      </c>
      <c r="B81" s="212"/>
      <c r="C81" s="212"/>
      <c r="D81" s="212"/>
      <c r="E81" s="212"/>
      <c r="F81" s="212"/>
      <c r="G81" s="212"/>
      <c r="H81" s="212"/>
      <c r="I81" s="212"/>
      <c r="J81" s="212"/>
      <c r="K81" s="212"/>
      <c r="L81" s="212"/>
      <c r="M81" s="212"/>
      <c r="N81" s="136"/>
      <c r="O81" s="136"/>
    </row>
    <row r="82" spans="1:15" ht="15" customHeight="1">
      <c r="A82" s="136"/>
      <c r="B82" s="136"/>
      <c r="C82" s="136"/>
      <c r="D82" s="136"/>
      <c r="E82" s="136"/>
      <c r="F82" s="136"/>
      <c r="G82" s="136"/>
      <c r="H82" s="136"/>
      <c r="I82" s="136"/>
      <c r="J82" s="136"/>
      <c r="K82" s="136"/>
      <c r="L82" s="136"/>
      <c r="M82" s="136"/>
      <c r="N82" s="61"/>
      <c r="O82" s="61"/>
    </row>
    <row r="83" spans="1:15" s="28" customFormat="1" ht="14.25" customHeight="1">
      <c r="A83" s="211" t="s">
        <v>19</v>
      </c>
      <c r="B83" s="211"/>
      <c r="C83" s="211"/>
      <c r="D83" s="211"/>
      <c r="E83" s="211"/>
      <c r="F83" s="211"/>
      <c r="G83" s="211"/>
      <c r="H83" s="211"/>
      <c r="I83" s="211"/>
      <c r="J83" s="211"/>
      <c r="K83" s="211"/>
      <c r="L83" s="211"/>
      <c r="M83" s="211"/>
      <c r="N83" s="99"/>
      <c r="O83" s="99"/>
    </row>
    <row r="84" spans="1:15" s="4" customFormat="1" ht="15" customHeight="1">
      <c r="A84" s="93"/>
      <c r="B84" s="97"/>
      <c r="C84" s="97"/>
      <c r="D84" s="97"/>
      <c r="E84" s="97"/>
      <c r="F84" s="97"/>
      <c r="G84" s="97"/>
      <c r="H84" s="97"/>
      <c r="I84" s="97"/>
      <c r="J84" s="97"/>
      <c r="K84" s="97"/>
      <c r="L84" s="97"/>
      <c r="M84" s="97"/>
      <c r="N84" s="98"/>
      <c r="O84" s="98"/>
    </row>
    <row r="85" spans="1:15" s="4" customFormat="1" ht="15" customHeight="1">
      <c r="A85" s="216" t="s">
        <v>17</v>
      </c>
      <c r="B85" s="216"/>
      <c r="C85" s="216"/>
      <c r="D85" s="216"/>
      <c r="E85" s="216"/>
      <c r="F85" s="216"/>
      <c r="G85" s="216"/>
      <c r="H85" s="216"/>
      <c r="I85" s="216"/>
      <c r="J85" s="216"/>
      <c r="K85" s="216"/>
      <c r="L85" s="216"/>
      <c r="M85" s="216"/>
      <c r="N85" s="98"/>
      <c r="O85" s="98"/>
    </row>
    <row r="86" spans="1:15" s="4" customFormat="1" ht="15" customHeight="1">
      <c r="A86" s="93"/>
      <c r="B86" s="97"/>
      <c r="C86" s="97"/>
      <c r="D86" s="97"/>
      <c r="E86" s="97"/>
      <c r="F86" s="97"/>
      <c r="G86" s="97"/>
      <c r="H86" s="97"/>
      <c r="I86" s="97"/>
      <c r="J86" s="97"/>
      <c r="K86" s="97"/>
      <c r="L86" s="97"/>
      <c r="M86" s="97"/>
      <c r="N86" s="98"/>
      <c r="O86" s="98"/>
    </row>
    <row r="87" spans="1:15" s="4" customFormat="1" ht="15" customHeight="1">
      <c r="A87" s="216" t="s">
        <v>8</v>
      </c>
      <c r="B87" s="216"/>
      <c r="C87" s="216"/>
      <c r="D87" s="216"/>
      <c r="E87" s="216"/>
      <c r="F87" s="216"/>
      <c r="G87" s="216"/>
      <c r="H87" s="216"/>
      <c r="I87" s="216"/>
      <c r="J87" s="216"/>
      <c r="K87" s="216"/>
      <c r="L87" s="216"/>
      <c r="M87" s="216"/>
      <c r="N87" s="93"/>
      <c r="O87" s="93"/>
    </row>
    <row r="88" spans="1:15" ht="15" customHeight="1">
      <c r="A88" s="147"/>
      <c r="B88" s="147"/>
      <c r="C88" s="148"/>
      <c r="D88" s="148"/>
      <c r="E88" s="148"/>
      <c r="F88" s="148"/>
      <c r="G88" s="148"/>
      <c r="H88" s="148"/>
      <c r="I88" s="148"/>
      <c r="J88" s="148"/>
      <c r="K88" s="148"/>
      <c r="L88" s="148"/>
      <c r="M88" s="148"/>
      <c r="N88" s="95"/>
      <c r="O88" s="95"/>
    </row>
    <row r="89" spans="1:15" ht="15" customHeight="1">
      <c r="A89" s="136"/>
      <c r="B89" s="136"/>
      <c r="C89" s="136"/>
      <c r="D89" s="136"/>
      <c r="E89" s="136"/>
      <c r="F89" s="136"/>
      <c r="G89" s="136"/>
      <c r="H89" s="136"/>
      <c r="I89" s="136"/>
      <c r="J89" s="136"/>
      <c r="K89" s="136"/>
      <c r="L89" s="136"/>
      <c r="M89" s="136"/>
      <c r="N89" s="61"/>
      <c r="O89" s="61"/>
    </row>
    <row r="90" spans="1:15" ht="15" customHeight="1">
      <c r="A90" s="61"/>
      <c r="B90" s="61"/>
      <c r="C90" s="61"/>
      <c r="D90" s="61"/>
      <c r="E90" s="61"/>
      <c r="F90" s="61"/>
      <c r="G90" s="61"/>
      <c r="H90" s="61"/>
      <c r="I90" s="61"/>
      <c r="J90" s="61"/>
      <c r="K90" s="61"/>
      <c r="L90" s="61"/>
      <c r="M90" s="61"/>
      <c r="N90" s="61"/>
      <c r="O90" s="61"/>
    </row>
  </sheetData>
  <sheetProtection sheet="1" objects="1" scenarios="1"/>
  <mergeCells count="11">
    <mergeCell ref="A81:M81"/>
    <mergeCell ref="A87:M87"/>
    <mergeCell ref="A85:M85"/>
    <mergeCell ref="A83:M83"/>
    <mergeCell ref="A5:O5"/>
    <mergeCell ref="C8:L8"/>
    <mergeCell ref="N8:O8"/>
    <mergeCell ref="A77:M77"/>
    <mergeCell ref="A75:M75"/>
    <mergeCell ref="A79:M79"/>
    <mergeCell ref="B43:M43"/>
  </mergeCells>
  <hyperlinks>
    <hyperlink ref="A2" r:id="rId1" display="https://www.cbo.gov/publication/61198" xr:uid="{B0ABCD7F-D2B7-49D4-9750-3931C69EEF09}"/>
  </hyperlinks>
  <pageMargins left="0.75" right="0.75" top="1" bottom="1" header="0.5" footer="0.5"/>
  <pageSetup scale="75"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90"/>
  <sheetViews>
    <sheetView zoomScaleNormal="100" workbookViewId="0"/>
  </sheetViews>
  <sheetFormatPr baseColWidth="10" defaultColWidth="12.5" defaultRowHeight="15" customHeight="1"/>
  <cols>
    <col min="1" max="1" width="54.5" style="63" customWidth="1"/>
    <col min="2" max="2" width="7.5" style="63" customWidth="1"/>
    <col min="3" max="14" width="7.5" style="73" customWidth="1"/>
    <col min="15" max="15" width="7.83203125" style="73" customWidth="1"/>
    <col min="16" max="16384" width="12.5" style="73"/>
  </cols>
  <sheetData>
    <row r="1" spans="1:15" s="4" customFormat="1" ht="15" customHeight="1">
      <c r="A1" s="2" t="s">
        <v>101</v>
      </c>
      <c r="B1" s="3"/>
      <c r="C1" s="3"/>
      <c r="D1" s="3"/>
      <c r="E1" s="3"/>
      <c r="F1" s="3"/>
      <c r="G1" s="3"/>
      <c r="H1" s="3"/>
      <c r="I1" s="3"/>
      <c r="J1" s="3"/>
      <c r="K1" s="3"/>
      <c r="L1" s="3"/>
      <c r="M1" s="3"/>
      <c r="N1" s="3"/>
      <c r="O1" s="3"/>
    </row>
    <row r="2" spans="1:15" s="4" customFormat="1" ht="15" customHeight="1">
      <c r="A2" s="210" t="s">
        <v>119</v>
      </c>
      <c r="B2" s="3"/>
      <c r="C2" s="3"/>
      <c r="D2" s="3"/>
      <c r="E2" s="3"/>
      <c r="F2" s="3"/>
      <c r="G2" s="3"/>
      <c r="H2" s="3"/>
      <c r="I2" s="3"/>
      <c r="J2" s="3"/>
      <c r="K2" s="3"/>
      <c r="L2" s="3"/>
      <c r="M2" s="3"/>
      <c r="N2" s="3"/>
      <c r="O2" s="3"/>
    </row>
    <row r="3" spans="1:15" s="4" customFormat="1" ht="15" customHeight="1">
      <c r="A3" s="165"/>
      <c r="B3" s="3"/>
      <c r="C3" s="3"/>
      <c r="D3" s="3"/>
      <c r="E3" s="3"/>
      <c r="F3" s="3"/>
      <c r="G3" s="3"/>
      <c r="H3" s="3"/>
      <c r="I3" s="3"/>
      <c r="J3" s="3"/>
      <c r="K3" s="3"/>
      <c r="L3" s="3"/>
      <c r="M3" s="3"/>
      <c r="N3" s="3"/>
      <c r="O3" s="3"/>
    </row>
    <row r="4" spans="1:15" ht="15" customHeight="1">
      <c r="A4" s="61"/>
      <c r="B4" s="61"/>
      <c r="C4" s="110"/>
      <c r="D4" s="110"/>
      <c r="E4" s="110"/>
      <c r="F4" s="110"/>
      <c r="G4" s="110"/>
      <c r="H4" s="110"/>
      <c r="I4" s="110"/>
      <c r="J4" s="110"/>
      <c r="K4" s="110"/>
      <c r="L4" s="110"/>
      <c r="M4" s="110"/>
      <c r="N4" s="110"/>
      <c r="O4" s="110"/>
    </row>
    <row r="5" spans="1:15" ht="15" customHeight="1">
      <c r="A5" s="225" t="s">
        <v>94</v>
      </c>
      <c r="B5" s="225"/>
      <c r="C5" s="225"/>
      <c r="D5" s="225"/>
      <c r="E5" s="225"/>
      <c r="F5" s="225"/>
      <c r="G5" s="225"/>
      <c r="H5" s="225"/>
      <c r="I5" s="225"/>
      <c r="J5" s="225"/>
      <c r="K5" s="225"/>
      <c r="L5" s="225"/>
      <c r="M5" s="225"/>
      <c r="N5" s="225"/>
      <c r="O5" s="225"/>
    </row>
    <row r="6" spans="1:15" ht="15" customHeight="1">
      <c r="A6" s="121" t="s">
        <v>83</v>
      </c>
      <c r="B6" s="120"/>
      <c r="C6" s="121"/>
      <c r="D6" s="121"/>
      <c r="E6" s="121"/>
      <c r="F6" s="121"/>
      <c r="G6" s="121"/>
      <c r="H6" s="121"/>
      <c r="I6" s="121"/>
      <c r="J6" s="121"/>
      <c r="K6" s="121"/>
      <c r="L6" s="121"/>
      <c r="M6" s="121"/>
      <c r="N6" s="122"/>
      <c r="O6" s="122"/>
    </row>
    <row r="7" spans="1:15" ht="15" customHeight="1">
      <c r="A7" s="95"/>
      <c r="B7" s="95"/>
      <c r="C7" s="122"/>
      <c r="D7" s="122"/>
      <c r="E7" s="122"/>
      <c r="F7" s="122"/>
      <c r="G7" s="122"/>
      <c r="H7" s="122"/>
      <c r="I7" s="122"/>
      <c r="J7" s="122"/>
      <c r="K7" s="122"/>
      <c r="L7" s="122"/>
      <c r="M7" s="122"/>
      <c r="N7" s="123"/>
      <c r="O7" s="123"/>
    </row>
    <row r="8" spans="1:15" s="13" customFormat="1" ht="15" customHeight="1">
      <c r="A8" s="9"/>
      <c r="B8" s="47"/>
      <c r="C8" s="220"/>
      <c r="D8" s="220"/>
      <c r="E8" s="220"/>
      <c r="F8" s="220"/>
      <c r="G8" s="220"/>
      <c r="H8" s="220"/>
      <c r="I8" s="220"/>
      <c r="J8" s="220"/>
      <c r="K8" s="220"/>
      <c r="L8" s="220"/>
      <c r="M8" s="171"/>
      <c r="N8" s="218" t="s">
        <v>15</v>
      </c>
      <c r="O8" s="218"/>
    </row>
    <row r="9" spans="1:15" s="13" customFormat="1" ht="15" customHeight="1">
      <c r="A9" s="9"/>
      <c r="B9" s="47"/>
      <c r="C9" s="47"/>
      <c r="D9" s="47"/>
      <c r="E9" s="47"/>
      <c r="F9" s="47"/>
      <c r="G9" s="47"/>
      <c r="H9" s="47"/>
      <c r="I9" s="47"/>
      <c r="J9" s="47"/>
      <c r="K9" s="47"/>
      <c r="L9" s="47"/>
      <c r="M9" s="47"/>
      <c r="N9" s="48" t="s">
        <v>91</v>
      </c>
      <c r="O9" s="48" t="s">
        <v>91</v>
      </c>
    </row>
    <row r="10" spans="1:15" s="13" customFormat="1" ht="15" customHeight="1">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c r="A11" s="124" t="s">
        <v>59</v>
      </c>
      <c r="B11" s="125" t="s">
        <v>3</v>
      </c>
      <c r="C11" s="189">
        <v>-1.649</v>
      </c>
      <c r="D11" s="189">
        <v>-4.2830000000000004</v>
      </c>
      <c r="E11" s="189">
        <v>-7.2</v>
      </c>
      <c r="F11" s="189">
        <v>-10.372999999999999</v>
      </c>
      <c r="G11" s="189">
        <v>-13.878</v>
      </c>
      <c r="H11" s="189">
        <v>-17.782</v>
      </c>
      <c r="I11" s="189">
        <v>-22.053000000000001</v>
      </c>
      <c r="J11" s="189">
        <v>-26.788</v>
      </c>
      <c r="K11" s="189">
        <v>-31.960999999999999</v>
      </c>
      <c r="L11" s="189">
        <v>-37.56</v>
      </c>
      <c r="M11" s="189">
        <v>-43.764000000000003</v>
      </c>
      <c r="N11" s="189">
        <v>-53.516000000000005</v>
      </c>
      <c r="O11" s="189">
        <v>-215.642</v>
      </c>
    </row>
    <row r="12" spans="1:15" ht="15" customHeight="1">
      <c r="A12" s="124"/>
      <c r="B12" s="125"/>
      <c r="C12" s="126"/>
      <c r="D12" s="126"/>
      <c r="E12" s="126"/>
      <c r="F12" s="126"/>
      <c r="G12" s="126"/>
      <c r="H12" s="126"/>
      <c r="I12" s="126"/>
      <c r="J12" s="126"/>
      <c r="K12" s="126"/>
      <c r="L12" s="126"/>
      <c r="M12" s="126"/>
      <c r="N12" s="127"/>
      <c r="O12" s="127"/>
    </row>
    <row r="13" spans="1:15" ht="15" customHeight="1">
      <c r="A13" s="124" t="s">
        <v>61</v>
      </c>
      <c r="B13" s="125"/>
      <c r="C13" s="126"/>
      <c r="D13" s="126"/>
      <c r="E13" s="126"/>
      <c r="F13" s="126"/>
      <c r="G13" s="126"/>
      <c r="H13" s="126"/>
      <c r="I13" s="126"/>
      <c r="J13" s="126"/>
      <c r="K13" s="126"/>
      <c r="L13" s="126"/>
      <c r="M13" s="126"/>
      <c r="N13" s="127"/>
      <c r="O13" s="127"/>
    </row>
    <row r="14" spans="1:15" ht="15" customHeight="1">
      <c r="A14" s="128" t="s">
        <v>0</v>
      </c>
      <c r="B14" s="125" t="s">
        <v>3</v>
      </c>
      <c r="C14" s="189">
        <v>0.28100000000000003</v>
      </c>
      <c r="D14" s="189">
        <v>0.74</v>
      </c>
      <c r="E14" s="189">
        <v>1.2110000000000001</v>
      </c>
      <c r="F14" s="189">
        <v>1.7330000000000001</v>
      </c>
      <c r="G14" s="189">
        <v>2.29</v>
      </c>
      <c r="H14" s="189">
        <v>2.8559999999999999</v>
      </c>
      <c r="I14" s="189">
        <v>3.532</v>
      </c>
      <c r="J14" s="189">
        <v>4.4820000000000002</v>
      </c>
      <c r="K14" s="189">
        <v>5.4550000000000001</v>
      </c>
      <c r="L14" s="189">
        <v>6.3029999999999999</v>
      </c>
      <c r="M14" s="189">
        <v>7.3040000000000003</v>
      </c>
      <c r="N14" s="189">
        <v>8.83</v>
      </c>
      <c r="O14" s="189">
        <v>35.905999999999999</v>
      </c>
    </row>
    <row r="15" spans="1:15" s="63" customFormat="1" ht="15" customHeight="1">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c r="A16" s="53" t="s">
        <v>49</v>
      </c>
      <c r="B16" s="125"/>
      <c r="C16" s="126"/>
      <c r="D16" s="126"/>
      <c r="E16" s="126"/>
      <c r="F16" s="126"/>
      <c r="G16" s="126"/>
      <c r="H16" s="126"/>
      <c r="I16" s="126"/>
      <c r="J16" s="126"/>
      <c r="K16" s="126"/>
      <c r="L16" s="126"/>
      <c r="M16" s="126"/>
      <c r="N16" s="127"/>
      <c r="O16" s="127"/>
    </row>
    <row r="17" spans="1:15" ht="15" customHeight="1">
      <c r="A17" s="129" t="s">
        <v>2</v>
      </c>
      <c r="B17" s="125" t="s">
        <v>3</v>
      </c>
      <c r="C17" s="190">
        <v>-0.3</v>
      </c>
      <c r="D17" s="190">
        <v>-1.101</v>
      </c>
      <c r="E17" s="190">
        <v>-2.1739999999999999</v>
      </c>
      <c r="F17" s="190">
        <v>-3.5070000000000001</v>
      </c>
      <c r="G17" s="190">
        <v>-5.1310000000000002</v>
      </c>
      <c r="H17" s="190">
        <v>-7.0090000000000003</v>
      </c>
      <c r="I17" s="190">
        <v>-9.0709999999999997</v>
      </c>
      <c r="J17" s="190">
        <v>-11.442</v>
      </c>
      <c r="K17" s="190">
        <v>-13.92</v>
      </c>
      <c r="L17" s="190">
        <v>-16.603999999999999</v>
      </c>
      <c r="M17" s="190">
        <v>-19.399000000000001</v>
      </c>
      <c r="N17" s="189">
        <v>-18.922000000000001</v>
      </c>
      <c r="O17" s="189">
        <v>-89.358000000000004</v>
      </c>
    </row>
    <row r="18" spans="1:15" ht="15" customHeight="1">
      <c r="A18" s="129" t="s">
        <v>7</v>
      </c>
      <c r="B18" s="125" t="s">
        <v>3</v>
      </c>
      <c r="C18" s="190">
        <v>1.7000000000000001E-2</v>
      </c>
      <c r="D18" s="190">
        <v>0.13800000000000001</v>
      </c>
      <c r="E18" s="190">
        <v>0.32900000000000001</v>
      </c>
      <c r="F18" s="190">
        <v>0.60899999999999999</v>
      </c>
      <c r="G18" s="190">
        <v>0.98199999999999998</v>
      </c>
      <c r="H18" s="190">
        <v>1.4570000000000001</v>
      </c>
      <c r="I18" s="190">
        <v>2.036</v>
      </c>
      <c r="J18" s="190">
        <v>2.7429999999999999</v>
      </c>
      <c r="K18" s="190">
        <v>3.5910000000000002</v>
      </c>
      <c r="L18" s="190">
        <v>4.593</v>
      </c>
      <c r="M18" s="190">
        <v>5.7759999999999998</v>
      </c>
      <c r="N18" s="189">
        <v>3.5149999999999997</v>
      </c>
      <c r="O18" s="189">
        <v>22.254000000000001</v>
      </c>
    </row>
    <row r="19" spans="1:15" ht="3" customHeight="1">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c r="A20" s="158" t="s">
        <v>50</v>
      </c>
      <c r="B20" s="125" t="s">
        <v>3</v>
      </c>
      <c r="C20" s="190">
        <v>-0.28299999999999997</v>
      </c>
      <c r="D20" s="190">
        <v>-0.96299999999999997</v>
      </c>
      <c r="E20" s="190">
        <v>-1.845</v>
      </c>
      <c r="F20" s="190">
        <v>-2.8980000000000001</v>
      </c>
      <c r="G20" s="190">
        <v>-4.149</v>
      </c>
      <c r="H20" s="190">
        <v>-5.5520000000000005</v>
      </c>
      <c r="I20" s="190">
        <v>-7.0350000000000001</v>
      </c>
      <c r="J20" s="190">
        <v>-8.6989999999999998</v>
      </c>
      <c r="K20" s="190">
        <v>-10.329000000000001</v>
      </c>
      <c r="L20" s="190">
        <v>-12.010999999999999</v>
      </c>
      <c r="M20" s="190">
        <v>-13.623000000000001</v>
      </c>
      <c r="N20" s="189">
        <v>-15.407</v>
      </c>
      <c r="O20" s="189">
        <v>-67.103999999999999</v>
      </c>
    </row>
    <row r="21" spans="1:15" ht="15" customHeight="1">
      <c r="A21" s="124"/>
      <c r="B21" s="125"/>
      <c r="C21" s="126"/>
      <c r="D21" s="126"/>
      <c r="E21" s="126"/>
      <c r="F21" s="126"/>
      <c r="G21" s="126"/>
      <c r="H21" s="126"/>
      <c r="I21" s="126"/>
      <c r="J21" s="126"/>
      <c r="K21" s="126"/>
      <c r="L21" s="126"/>
      <c r="M21" s="126"/>
      <c r="N21" s="126"/>
      <c r="O21" s="126"/>
    </row>
    <row r="22" spans="1:15" ht="15" customHeight="1">
      <c r="A22" s="130" t="s">
        <v>62</v>
      </c>
      <c r="B22" s="125" t="s">
        <v>3</v>
      </c>
      <c r="C22" s="190">
        <v>-1.9999999999999463E-3</v>
      </c>
      <c r="D22" s="190">
        <v>-0.22299999999999998</v>
      </c>
      <c r="E22" s="190">
        <v>-0.6339999999999999</v>
      </c>
      <c r="F22" s="190">
        <v>-1.165</v>
      </c>
      <c r="G22" s="190">
        <v>-1.859</v>
      </c>
      <c r="H22" s="190">
        <v>-2.6960000000000006</v>
      </c>
      <c r="I22" s="190">
        <v>-3.5030000000000001</v>
      </c>
      <c r="J22" s="190">
        <v>-4.2169999999999996</v>
      </c>
      <c r="K22" s="190">
        <v>-4.8740000000000006</v>
      </c>
      <c r="L22" s="190">
        <v>-5.7079999999999993</v>
      </c>
      <c r="M22" s="190">
        <v>-6.3190000000000008</v>
      </c>
      <c r="N22" s="189">
        <v>-6.577</v>
      </c>
      <c r="O22" s="189">
        <v>-31.198</v>
      </c>
    </row>
    <row r="23" spans="1:15" ht="15" customHeight="1">
      <c r="A23" s="124"/>
      <c r="B23" s="125"/>
      <c r="C23" s="126"/>
      <c r="D23" s="126"/>
      <c r="E23" s="126"/>
      <c r="F23" s="126"/>
      <c r="G23" s="126"/>
      <c r="H23" s="126"/>
      <c r="I23" s="126"/>
      <c r="J23" s="126"/>
      <c r="K23" s="126"/>
      <c r="L23" s="126"/>
      <c r="M23" s="126"/>
      <c r="N23" s="126"/>
      <c r="O23" s="126"/>
    </row>
    <row r="24" spans="1:15" s="63" customFormat="1" ht="30" customHeight="1">
      <c r="A24" s="59" t="s">
        <v>104</v>
      </c>
      <c r="B24" s="131" t="s">
        <v>3</v>
      </c>
      <c r="C24" s="191">
        <v>-1.647</v>
      </c>
      <c r="D24" s="191">
        <v>-4.0600000000000005</v>
      </c>
      <c r="E24" s="191">
        <v>-6.5660000000000007</v>
      </c>
      <c r="F24" s="191">
        <v>-9.2079999999999984</v>
      </c>
      <c r="G24" s="191">
        <v>-12.019</v>
      </c>
      <c r="H24" s="191">
        <v>-15.085999999999999</v>
      </c>
      <c r="I24" s="191">
        <v>-18.55</v>
      </c>
      <c r="J24" s="191">
        <v>-22.571000000000002</v>
      </c>
      <c r="K24" s="191">
        <v>-27.086999999999996</v>
      </c>
      <c r="L24" s="191">
        <v>-31.852000000000004</v>
      </c>
      <c r="M24" s="191">
        <v>-37.445</v>
      </c>
      <c r="N24" s="191">
        <v>-46.939</v>
      </c>
      <c r="O24" s="191">
        <v>-184.44399999999999</v>
      </c>
    </row>
    <row r="25" spans="1:15" ht="15" customHeight="1">
      <c r="A25" s="132"/>
      <c r="B25" s="132"/>
      <c r="C25" s="149"/>
      <c r="D25" s="149"/>
      <c r="E25" s="149"/>
      <c r="F25" s="149"/>
      <c r="G25" s="149"/>
      <c r="H25" s="149"/>
      <c r="I25" s="149"/>
      <c r="J25" s="149"/>
      <c r="K25" s="149"/>
      <c r="L25" s="149"/>
      <c r="M25" s="149"/>
      <c r="N25" s="149"/>
      <c r="O25" s="150"/>
    </row>
    <row r="26" spans="1:15" ht="15" customHeight="1">
      <c r="A26" s="64" t="s">
        <v>64</v>
      </c>
      <c r="B26" s="135"/>
      <c r="C26" s="74"/>
      <c r="D26" s="74"/>
      <c r="E26" s="74"/>
      <c r="F26" s="74"/>
      <c r="G26" s="74"/>
      <c r="H26" s="74"/>
      <c r="I26" s="74"/>
      <c r="J26" s="74"/>
      <c r="K26" s="74"/>
      <c r="L26" s="74"/>
      <c r="M26" s="74"/>
      <c r="N26" s="74"/>
      <c r="O26" s="74"/>
    </row>
    <row r="27" spans="1:15" ht="15" customHeight="1">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c r="A28" s="176" t="s">
        <v>117</v>
      </c>
      <c r="B28" s="141">
        <v>-1832.3809999999994</v>
      </c>
      <c r="C28" s="151">
        <v>-1866.8980000000001</v>
      </c>
      <c r="D28" s="151">
        <v>-1717.3179999999998</v>
      </c>
      <c r="E28" s="151">
        <v>-1693.508</v>
      </c>
      <c r="F28" s="151">
        <v>-1919.9840000000008</v>
      </c>
      <c r="G28" s="151">
        <v>-1950.2869999999991</v>
      </c>
      <c r="H28" s="151">
        <v>-2154.8070000000012</v>
      </c>
      <c r="I28" s="151">
        <v>-2251.3359999999993</v>
      </c>
      <c r="J28" s="151">
        <v>-2393.1530000000002</v>
      </c>
      <c r="K28" s="151">
        <v>-2664.3859999999981</v>
      </c>
      <c r="L28" s="151">
        <v>-2629.101999999999</v>
      </c>
      <c r="M28" s="151">
        <v>-2568.822999999999</v>
      </c>
      <c r="N28" s="151">
        <v>-9435.9040000000023</v>
      </c>
      <c r="O28" s="151">
        <v>-21942.703999999998</v>
      </c>
    </row>
    <row r="29" spans="1:15" s="63" customFormat="1" ht="15" customHeight="1">
      <c r="A29" s="61"/>
      <c r="B29" s="62"/>
      <c r="C29" s="62"/>
      <c r="D29" s="62"/>
      <c r="E29" s="62"/>
      <c r="F29" s="62"/>
      <c r="G29" s="62"/>
      <c r="H29" s="62"/>
      <c r="I29" s="62"/>
      <c r="J29" s="62"/>
      <c r="K29" s="62"/>
      <c r="L29" s="62"/>
      <c r="M29" s="62"/>
      <c r="N29" s="62"/>
      <c r="O29" s="62"/>
    </row>
    <row r="30" spans="1:15" s="63" customFormat="1" ht="15" customHeight="1">
      <c r="A30" s="64" t="s">
        <v>65</v>
      </c>
      <c r="B30" s="62"/>
      <c r="C30" s="65"/>
      <c r="D30" s="65"/>
      <c r="E30" s="65"/>
      <c r="F30" s="65"/>
      <c r="G30" s="65"/>
      <c r="H30" s="65"/>
      <c r="I30" s="65"/>
      <c r="J30" s="65"/>
      <c r="K30" s="65"/>
      <c r="L30" s="65"/>
      <c r="M30" s="65"/>
      <c r="N30" s="62"/>
      <c r="O30" s="62"/>
    </row>
    <row r="31" spans="1:15" s="63" customFormat="1" ht="15" customHeight="1">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c r="A32" s="67" t="s">
        <v>117</v>
      </c>
      <c r="B32" s="141">
        <v>28199.312999999998</v>
      </c>
      <c r="C32" s="69">
        <v>30104.396000000001</v>
      </c>
      <c r="D32" s="69">
        <v>31888.34</v>
      </c>
      <c r="E32" s="69">
        <v>33648.378000000004</v>
      </c>
      <c r="F32" s="69">
        <v>35622.120999999999</v>
      </c>
      <c r="G32" s="69">
        <v>37614</v>
      </c>
      <c r="H32" s="69">
        <v>39796.237000000001</v>
      </c>
      <c r="I32" s="69">
        <v>42059.521000000001</v>
      </c>
      <c r="J32" s="69">
        <v>44461.462</v>
      </c>
      <c r="K32" s="69">
        <v>47101.823000000004</v>
      </c>
      <c r="L32" s="69">
        <v>49704.15</v>
      </c>
      <c r="M32" s="69">
        <v>52241.957000000002</v>
      </c>
      <c r="N32" s="51" t="s">
        <v>3</v>
      </c>
      <c r="O32" s="51" t="s">
        <v>3</v>
      </c>
    </row>
    <row r="33" spans="1:15" s="63" customFormat="1" ht="15" customHeight="1">
      <c r="A33" s="61"/>
      <c r="B33" s="62"/>
      <c r="C33" s="62"/>
      <c r="D33" s="62"/>
      <c r="E33" s="62"/>
      <c r="F33" s="62"/>
      <c r="G33" s="62"/>
      <c r="H33" s="62"/>
      <c r="I33" s="62"/>
      <c r="J33" s="62"/>
      <c r="K33" s="62"/>
      <c r="L33" s="62"/>
      <c r="M33" s="62"/>
      <c r="N33" s="62"/>
      <c r="O33" s="62"/>
    </row>
    <row r="34" spans="1:15" s="63" customFormat="1" ht="15" customHeight="1">
      <c r="A34" s="64" t="s">
        <v>66</v>
      </c>
      <c r="B34" s="62"/>
      <c r="C34" s="65"/>
      <c r="D34" s="65"/>
      <c r="E34" s="65"/>
      <c r="F34" s="65"/>
      <c r="G34" s="65"/>
      <c r="H34" s="65"/>
      <c r="I34" s="65"/>
      <c r="J34" s="65"/>
      <c r="K34" s="65"/>
      <c r="L34" s="65"/>
      <c r="M34" s="65"/>
      <c r="N34" s="62"/>
      <c r="O34" s="62"/>
    </row>
    <row r="35" spans="1:15" s="63" customFormat="1" ht="15" customHeight="1">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c r="A36" s="67" t="s">
        <v>117</v>
      </c>
      <c r="B36" s="140">
        <v>-6.356215750736907</v>
      </c>
      <c r="C36" s="173">
        <v>-6.1970000000000001</v>
      </c>
      <c r="D36" s="173">
        <v>-5.484</v>
      </c>
      <c r="E36" s="173">
        <v>-5.2119999999999997</v>
      </c>
      <c r="F36" s="173">
        <v>-5.6980000000000004</v>
      </c>
      <c r="G36" s="173">
        <v>-5.5789999999999997</v>
      </c>
      <c r="H36" s="173">
        <v>-5.94</v>
      </c>
      <c r="I36" s="173">
        <v>-5.98</v>
      </c>
      <c r="J36" s="173">
        <v>-6.1239999999999997</v>
      </c>
      <c r="K36" s="173">
        <v>-6.569</v>
      </c>
      <c r="L36" s="173">
        <v>-6.2469999999999999</v>
      </c>
      <c r="M36" s="173">
        <v>-5.8849999999999998</v>
      </c>
      <c r="N36" s="173">
        <v>-5.5919999999999996</v>
      </c>
      <c r="O36" s="173">
        <v>-5.9029999999999996</v>
      </c>
    </row>
    <row r="37" spans="1:15" s="63" customFormat="1" ht="15" customHeight="1">
      <c r="A37" s="61"/>
      <c r="B37" s="62"/>
      <c r="C37" s="62"/>
      <c r="D37" s="62"/>
      <c r="E37" s="62"/>
      <c r="F37" s="62"/>
      <c r="G37" s="62"/>
      <c r="H37" s="62"/>
      <c r="I37" s="62"/>
      <c r="J37" s="62"/>
      <c r="K37" s="62"/>
      <c r="L37" s="62"/>
      <c r="M37" s="62"/>
      <c r="N37" s="62"/>
      <c r="O37" s="62"/>
    </row>
    <row r="38" spans="1:15" s="63" customFormat="1" ht="15" customHeight="1">
      <c r="A38" s="64" t="s">
        <v>67</v>
      </c>
      <c r="B38" s="62"/>
      <c r="C38" s="65"/>
      <c r="D38" s="65"/>
      <c r="E38" s="65"/>
      <c r="F38" s="65"/>
      <c r="G38" s="65"/>
      <c r="H38" s="65"/>
      <c r="I38" s="65"/>
      <c r="J38" s="65"/>
      <c r="K38" s="65"/>
      <c r="L38" s="65"/>
      <c r="M38" s="65"/>
      <c r="N38" s="62"/>
      <c r="O38" s="62"/>
    </row>
    <row r="39" spans="1:15" s="63" customFormat="1" ht="15" customHeight="1">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c r="A40" s="67" t="s">
        <v>117</v>
      </c>
      <c r="B40" s="140">
        <v>97.818585463700003</v>
      </c>
      <c r="C40" s="173">
        <v>99.933999999999997</v>
      </c>
      <c r="D40" s="173">
        <v>101.839</v>
      </c>
      <c r="E40" s="173">
        <v>103.565</v>
      </c>
      <c r="F40" s="173">
        <v>105.71899999999999</v>
      </c>
      <c r="G40" s="173">
        <v>107.608</v>
      </c>
      <c r="H40" s="173">
        <v>109.705</v>
      </c>
      <c r="I40" s="173">
        <v>111.723</v>
      </c>
      <c r="J40" s="173">
        <v>113.782</v>
      </c>
      <c r="K40" s="173">
        <v>116.133</v>
      </c>
      <c r="L40" s="173">
        <v>118.105</v>
      </c>
      <c r="M40" s="173">
        <v>119.679</v>
      </c>
      <c r="N40" s="51" t="s">
        <v>3</v>
      </c>
      <c r="O40" s="51" t="s">
        <v>3</v>
      </c>
    </row>
    <row r="41" spans="1:15" ht="15" customHeight="1">
      <c r="A41" s="70"/>
      <c r="B41" s="152"/>
      <c r="C41" s="153"/>
      <c r="D41" s="153"/>
      <c r="E41" s="153"/>
      <c r="F41" s="153"/>
      <c r="G41" s="153"/>
      <c r="H41" s="153"/>
      <c r="I41" s="153"/>
      <c r="J41" s="153"/>
      <c r="K41" s="153"/>
      <c r="L41" s="153"/>
      <c r="M41" s="153"/>
      <c r="N41" s="153"/>
      <c r="O41" s="153"/>
    </row>
    <row r="42" spans="1:15" ht="15" customHeight="1">
      <c r="A42" s="66"/>
      <c r="B42" s="74"/>
      <c r="C42" s="74"/>
      <c r="D42" s="74"/>
      <c r="E42" s="74"/>
      <c r="F42" s="74"/>
      <c r="G42" s="74"/>
      <c r="H42" s="74"/>
      <c r="I42" s="74"/>
      <c r="J42" s="74"/>
      <c r="K42" s="74"/>
      <c r="L42" s="74"/>
      <c r="M42" s="74"/>
    </row>
    <row r="43" spans="1:15" ht="30.75" customHeight="1">
      <c r="A43" s="73"/>
      <c r="B43" s="215" t="s">
        <v>118</v>
      </c>
      <c r="C43" s="215"/>
      <c r="D43" s="215"/>
      <c r="E43" s="215"/>
      <c r="F43" s="215"/>
      <c r="G43" s="215"/>
      <c r="H43" s="215"/>
      <c r="I43" s="215"/>
      <c r="J43" s="215"/>
      <c r="K43" s="215"/>
      <c r="L43" s="215"/>
      <c r="M43" s="215"/>
      <c r="N43" s="75"/>
    </row>
    <row r="44" spans="1:15" ht="15" customHeight="1">
      <c r="A44" s="73"/>
      <c r="B44" s="169"/>
      <c r="C44" s="169"/>
      <c r="D44" s="169"/>
      <c r="E44" s="169"/>
      <c r="F44" s="169"/>
      <c r="G44" s="169"/>
      <c r="H44" s="169"/>
      <c r="I44" s="169"/>
      <c r="J44" s="169"/>
      <c r="K44" s="169"/>
      <c r="L44" s="169"/>
      <c r="M44" s="169"/>
      <c r="N44" s="75"/>
    </row>
    <row r="45" spans="1:15" ht="15" customHeight="1">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c r="A46" s="64" t="s">
        <v>68</v>
      </c>
      <c r="B46" s="64"/>
      <c r="C46" s="137"/>
      <c r="D46" s="137"/>
      <c r="E46" s="137"/>
      <c r="F46" s="137"/>
      <c r="G46" s="137"/>
      <c r="H46" s="137"/>
      <c r="I46" s="137"/>
      <c r="J46" s="137"/>
      <c r="K46" s="137"/>
      <c r="L46" s="137"/>
      <c r="M46" s="137"/>
      <c r="N46" s="138"/>
      <c r="O46" s="78"/>
    </row>
    <row r="47" spans="1:15" s="28" customFormat="1" ht="15" customHeight="1">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c r="A48" s="67" t="s">
        <v>117</v>
      </c>
      <c r="B48" s="139">
        <v>2.734</v>
      </c>
      <c r="C48" s="140">
        <v>2.0720000000000001</v>
      </c>
      <c r="D48" s="140">
        <v>1.7729999999999999</v>
      </c>
      <c r="E48" s="140">
        <v>1.706</v>
      </c>
      <c r="F48" s="140">
        <v>1.6859999999999999</v>
      </c>
      <c r="G48" s="140">
        <v>1.726</v>
      </c>
      <c r="H48" s="140">
        <v>1.76</v>
      </c>
      <c r="I48" s="140">
        <v>1.7589999999999999</v>
      </c>
      <c r="J48" s="140">
        <v>1.778</v>
      </c>
      <c r="K48" s="140">
        <v>1.7609999999999999</v>
      </c>
      <c r="L48" s="140">
        <v>1.73</v>
      </c>
      <c r="M48" s="140">
        <v>1.6910000000000001</v>
      </c>
      <c r="N48" s="80"/>
      <c r="O48" s="80"/>
    </row>
    <row r="49" spans="1:15" s="79" customFormat="1" ht="15" customHeight="1">
      <c r="A49" s="64" t="s">
        <v>69</v>
      </c>
      <c r="B49" s="115"/>
      <c r="C49" s="137"/>
      <c r="D49" s="137"/>
      <c r="E49" s="137"/>
      <c r="F49" s="137"/>
      <c r="G49" s="137"/>
      <c r="H49" s="137"/>
      <c r="I49" s="137"/>
      <c r="J49" s="137"/>
      <c r="K49" s="137"/>
      <c r="L49" s="137"/>
      <c r="M49" s="137"/>
      <c r="N49" s="78"/>
      <c r="O49" s="78"/>
    </row>
    <row r="50" spans="1:15" s="28" customFormat="1" ht="15" customHeight="1">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c r="A51" s="67" t="s">
        <v>117</v>
      </c>
      <c r="B51" s="141">
        <v>23290.9</v>
      </c>
      <c r="C51" s="141">
        <v>23773.5</v>
      </c>
      <c r="D51" s="141">
        <v>24195</v>
      </c>
      <c r="E51" s="141">
        <v>24607.8</v>
      </c>
      <c r="F51" s="141">
        <v>25022.7</v>
      </c>
      <c r="G51" s="141">
        <v>25454.5</v>
      </c>
      <c r="H51" s="141">
        <v>25902.5</v>
      </c>
      <c r="I51" s="141">
        <v>26358.1</v>
      </c>
      <c r="J51" s="141">
        <v>26826.7</v>
      </c>
      <c r="K51" s="141">
        <v>27299</v>
      </c>
      <c r="L51" s="141">
        <v>27771.200000000001</v>
      </c>
      <c r="M51" s="141">
        <v>28240.799999999999</v>
      </c>
      <c r="N51" s="80"/>
      <c r="O51" s="80"/>
    </row>
    <row r="52" spans="1:15" s="79" customFormat="1" ht="15" customHeight="1">
      <c r="A52" s="64" t="s">
        <v>70</v>
      </c>
      <c r="B52" s="142"/>
      <c r="C52" s="142"/>
      <c r="D52" s="142"/>
      <c r="E52" s="142"/>
      <c r="F52" s="142"/>
      <c r="G52" s="142"/>
      <c r="H52" s="142"/>
      <c r="I52" s="142"/>
      <c r="J52" s="142"/>
      <c r="K52" s="142"/>
      <c r="L52" s="142"/>
      <c r="M52" s="142"/>
      <c r="N52" s="78"/>
      <c r="O52" s="78"/>
    </row>
    <row r="53" spans="1:15" s="28" customFormat="1" ht="15" customHeight="1">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c r="A54" s="67" t="s">
        <v>117</v>
      </c>
      <c r="B54" s="141">
        <v>29166.2</v>
      </c>
      <c r="C54" s="141">
        <v>30425.4</v>
      </c>
      <c r="D54" s="141">
        <v>31607.3</v>
      </c>
      <c r="E54" s="141">
        <v>32788</v>
      </c>
      <c r="F54" s="141">
        <v>34003.699999999997</v>
      </c>
      <c r="G54" s="141">
        <v>35279.9</v>
      </c>
      <c r="H54" s="141">
        <v>36614.1</v>
      </c>
      <c r="I54" s="141">
        <v>37998.199999999997</v>
      </c>
      <c r="J54" s="141">
        <v>39442.5</v>
      </c>
      <c r="K54" s="141">
        <v>40936.199999999997</v>
      </c>
      <c r="L54" s="141">
        <v>42472.800000000003</v>
      </c>
      <c r="M54" s="141">
        <v>44050.9</v>
      </c>
      <c r="N54" s="80"/>
      <c r="O54" s="80"/>
    </row>
    <row r="55" spans="1:15" s="79" customFormat="1" ht="15" customHeight="1">
      <c r="A55" s="64" t="s">
        <v>71</v>
      </c>
      <c r="B55" s="142"/>
      <c r="C55" s="142"/>
      <c r="D55" s="142"/>
      <c r="E55" s="142"/>
      <c r="F55" s="142"/>
      <c r="G55" s="142"/>
      <c r="H55" s="142"/>
      <c r="I55" s="142"/>
      <c r="J55" s="142"/>
      <c r="K55" s="142"/>
      <c r="L55" s="142"/>
      <c r="M55" s="142"/>
      <c r="N55" s="78"/>
      <c r="O55" s="78"/>
    </row>
    <row r="56" spans="1:15" s="28" customFormat="1" ht="15" customHeight="1">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c r="A57" s="67" t="s">
        <v>117</v>
      </c>
      <c r="B57" s="141">
        <v>28823</v>
      </c>
      <c r="C57" s="141">
        <v>30124.3</v>
      </c>
      <c r="D57" s="141">
        <v>31312.400000000001</v>
      </c>
      <c r="E57" s="141">
        <v>32490</v>
      </c>
      <c r="F57" s="141">
        <v>33695.199999999997</v>
      </c>
      <c r="G57" s="141">
        <v>34954.6</v>
      </c>
      <c r="H57" s="141">
        <v>36275.599999999999</v>
      </c>
      <c r="I57" s="141">
        <v>37646.1</v>
      </c>
      <c r="J57" s="141">
        <v>39076</v>
      </c>
      <c r="K57" s="141">
        <v>40558.400000000001</v>
      </c>
      <c r="L57" s="141">
        <v>42084.800000000003</v>
      </c>
      <c r="M57" s="141">
        <v>43651.9</v>
      </c>
      <c r="N57" s="80"/>
      <c r="O57" s="80"/>
    </row>
    <row r="58" spans="1:15" s="79" customFormat="1" ht="15" customHeight="1">
      <c r="A58" s="64" t="s">
        <v>72</v>
      </c>
      <c r="B58" s="115"/>
      <c r="C58" s="137"/>
      <c r="D58" s="137"/>
      <c r="E58" s="137"/>
      <c r="F58" s="137"/>
      <c r="G58" s="137"/>
      <c r="H58" s="137"/>
      <c r="I58" s="137"/>
      <c r="J58" s="137"/>
      <c r="K58" s="137"/>
      <c r="L58" s="137"/>
      <c r="M58" s="137"/>
      <c r="N58" s="78"/>
      <c r="O58" s="78"/>
    </row>
    <row r="59" spans="1:15" s="28" customFormat="1" ht="15" customHeight="1">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c r="A60" s="67" t="s">
        <v>117</v>
      </c>
      <c r="B60" s="139">
        <v>168.24299999999999</v>
      </c>
      <c r="C60" s="140">
        <v>170.505</v>
      </c>
      <c r="D60" s="140">
        <v>173.05500000000001</v>
      </c>
      <c r="E60" s="140">
        <v>173.52099999999999</v>
      </c>
      <c r="F60" s="140">
        <v>173.96299999999999</v>
      </c>
      <c r="G60" s="140">
        <v>174.477</v>
      </c>
      <c r="H60" s="140">
        <v>175.04300000000001</v>
      </c>
      <c r="I60" s="140">
        <v>175.643</v>
      </c>
      <c r="J60" s="140">
        <v>176.22800000000001</v>
      </c>
      <c r="K60" s="140">
        <v>176.67400000000001</v>
      </c>
      <c r="L60" s="140">
        <v>177.119</v>
      </c>
      <c r="M60" s="140">
        <v>177.536</v>
      </c>
      <c r="N60" s="80"/>
      <c r="O60" s="80"/>
    </row>
    <row r="61" spans="1:15" s="79" customFormat="1" ht="15" customHeight="1">
      <c r="A61" s="64" t="s">
        <v>73</v>
      </c>
      <c r="B61" s="115"/>
      <c r="C61" s="137"/>
      <c r="D61" s="137"/>
      <c r="E61" s="137"/>
      <c r="F61" s="137"/>
      <c r="G61" s="137"/>
      <c r="H61" s="137"/>
      <c r="I61" s="137"/>
      <c r="J61" s="137"/>
      <c r="K61" s="137"/>
      <c r="L61" s="137"/>
      <c r="M61" s="137"/>
      <c r="N61" s="78"/>
      <c r="O61" s="78"/>
    </row>
    <row r="62" spans="1:15" s="28" customFormat="1" ht="15" customHeight="1">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c r="A63" s="67" t="s">
        <v>117</v>
      </c>
      <c r="B63" s="143">
        <v>4.1879999999999997</v>
      </c>
      <c r="C63" s="144">
        <v>4.0869999999999997</v>
      </c>
      <c r="D63" s="144">
        <v>3.9239999999999999</v>
      </c>
      <c r="E63" s="144">
        <v>3.8969999999999998</v>
      </c>
      <c r="F63" s="144">
        <v>3.8719999999999999</v>
      </c>
      <c r="G63" s="144">
        <v>3.8439999999999999</v>
      </c>
      <c r="H63" s="144">
        <v>3.8180000000000001</v>
      </c>
      <c r="I63" s="144">
        <v>3.8</v>
      </c>
      <c r="J63" s="144">
        <v>3.786</v>
      </c>
      <c r="K63" s="144">
        <v>3.77</v>
      </c>
      <c r="L63" s="144">
        <v>3.7490000000000001</v>
      </c>
      <c r="M63" s="144">
        <v>3.72</v>
      </c>
      <c r="N63" s="80"/>
      <c r="O63" s="175"/>
    </row>
    <row r="64" spans="1:15" s="79" customFormat="1" ht="15" customHeight="1">
      <c r="A64" s="64" t="s">
        <v>81</v>
      </c>
      <c r="B64" s="115"/>
      <c r="C64" s="142"/>
      <c r="D64" s="142"/>
      <c r="E64" s="142"/>
      <c r="F64" s="142"/>
      <c r="G64" s="142"/>
      <c r="H64" s="142"/>
      <c r="I64" s="142"/>
      <c r="J64" s="142"/>
      <c r="K64" s="142"/>
      <c r="L64" s="142"/>
      <c r="M64" s="142"/>
      <c r="N64" s="78"/>
      <c r="O64" s="78"/>
    </row>
    <row r="65" spans="1:15" s="28" customFormat="1" ht="15" customHeight="1">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c r="A67" s="64" t="s">
        <v>75</v>
      </c>
      <c r="B67" s="115"/>
      <c r="C67" s="142"/>
      <c r="D67" s="142"/>
      <c r="E67" s="142"/>
      <c r="F67" s="142"/>
      <c r="G67" s="142"/>
      <c r="H67" s="142"/>
      <c r="I67" s="142"/>
      <c r="J67" s="142"/>
      <c r="K67" s="142"/>
      <c r="L67" s="142"/>
      <c r="M67" s="142"/>
      <c r="N67" s="78"/>
      <c r="O67" s="78"/>
    </row>
    <row r="68" spans="1:15" s="28" customFormat="1" ht="15" customHeight="1">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c r="A69" s="67" t="s">
        <v>117</v>
      </c>
      <c r="B69" s="139">
        <v>125.223</v>
      </c>
      <c r="C69" s="140">
        <v>127.976</v>
      </c>
      <c r="D69" s="140">
        <v>130.631</v>
      </c>
      <c r="E69" s="140">
        <v>133.238</v>
      </c>
      <c r="F69" s="140">
        <v>135.887</v>
      </c>
      <c r="G69" s="140">
        <v>138.595</v>
      </c>
      <c r="H69" s="140">
        <v>141.34899999999999</v>
      </c>
      <c r="I69" s="140">
        <v>144.15700000000001</v>
      </c>
      <c r="J69" s="140">
        <v>147.023</v>
      </c>
      <c r="K69" s="140">
        <v>149.94999999999999</v>
      </c>
      <c r="L69" s="140">
        <v>152.934</v>
      </c>
      <c r="M69" s="140">
        <v>155.97900000000001</v>
      </c>
      <c r="N69" s="80"/>
      <c r="O69" s="80"/>
    </row>
    <row r="70" spans="1:15" s="79" customFormat="1" ht="15" customHeight="1">
      <c r="A70" s="64" t="s">
        <v>82</v>
      </c>
      <c r="B70" s="115"/>
      <c r="C70" s="142"/>
      <c r="D70" s="142"/>
      <c r="E70" s="142"/>
      <c r="F70" s="142"/>
      <c r="G70" s="142"/>
      <c r="H70" s="142"/>
      <c r="I70" s="142"/>
      <c r="J70" s="142"/>
      <c r="K70" s="142"/>
      <c r="L70" s="142"/>
      <c r="M70" s="142"/>
      <c r="N70" s="78"/>
      <c r="O70" s="78"/>
    </row>
    <row r="71" spans="1:15" s="28" customFormat="1" ht="15" customHeight="1">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c r="A72" s="67" t="s">
        <v>117</v>
      </c>
      <c r="B72" s="139">
        <v>168.291</v>
      </c>
      <c r="C72" s="140">
        <v>174.226</v>
      </c>
      <c r="D72" s="140">
        <v>180.143</v>
      </c>
      <c r="E72" s="140">
        <v>185.98699999999999</v>
      </c>
      <c r="F72" s="140">
        <v>191.821</v>
      </c>
      <c r="G72" s="140">
        <v>197.69800000000001</v>
      </c>
      <c r="H72" s="140">
        <v>203.66499999999999</v>
      </c>
      <c r="I72" s="140">
        <v>209.755</v>
      </c>
      <c r="J72" s="140">
        <v>215.99799999999999</v>
      </c>
      <c r="K72" s="140">
        <v>222.416</v>
      </c>
      <c r="L72" s="140">
        <v>229.011</v>
      </c>
      <c r="M72" s="140">
        <v>235.78200000000001</v>
      </c>
      <c r="N72" s="80"/>
      <c r="O72" s="80"/>
    </row>
    <row r="73" spans="1:15" ht="15" customHeight="1">
      <c r="A73" s="41"/>
      <c r="B73" s="41"/>
      <c r="C73" s="145"/>
      <c r="D73" s="145"/>
      <c r="E73" s="145"/>
      <c r="F73" s="145"/>
      <c r="G73" s="145"/>
      <c r="H73" s="145"/>
      <c r="I73" s="145"/>
      <c r="J73" s="145"/>
      <c r="K73" s="145"/>
      <c r="L73" s="145"/>
      <c r="M73" s="145"/>
      <c r="N73" s="146"/>
      <c r="O73" s="146"/>
    </row>
    <row r="74" spans="1:15" ht="15" customHeight="1">
      <c r="A74" s="136"/>
      <c r="B74" s="136"/>
      <c r="C74" s="74"/>
      <c r="D74" s="74"/>
      <c r="E74" s="74"/>
      <c r="F74" s="74"/>
      <c r="G74" s="74"/>
      <c r="H74" s="74"/>
      <c r="I74" s="74"/>
      <c r="J74" s="74"/>
      <c r="K74" s="74"/>
      <c r="L74" s="74"/>
      <c r="M74" s="74"/>
      <c r="N74" s="110"/>
      <c r="O74" s="110"/>
    </row>
    <row r="75" spans="1:15" ht="15" customHeight="1">
      <c r="A75" s="217" t="s">
        <v>32</v>
      </c>
      <c r="B75" s="217"/>
      <c r="C75" s="217"/>
      <c r="D75" s="217"/>
      <c r="E75" s="217"/>
      <c r="F75" s="217"/>
      <c r="G75" s="217"/>
      <c r="H75" s="217"/>
      <c r="I75" s="217"/>
      <c r="J75" s="217"/>
      <c r="K75" s="217"/>
      <c r="L75" s="217"/>
      <c r="M75" s="217"/>
      <c r="N75" s="136"/>
      <c r="O75" s="136"/>
    </row>
    <row r="76" spans="1:15" s="63" customFormat="1" ht="15" customHeight="1">
      <c r="A76" s="170"/>
      <c r="B76" s="170"/>
      <c r="C76" s="170"/>
      <c r="D76" s="170"/>
      <c r="E76" s="170"/>
      <c r="F76" s="170"/>
      <c r="G76" s="170"/>
      <c r="H76" s="170"/>
      <c r="I76" s="170"/>
      <c r="J76" s="170"/>
      <c r="K76" s="170"/>
      <c r="L76" s="170"/>
      <c r="M76" s="170"/>
      <c r="N76" s="95"/>
      <c r="O76" s="95"/>
    </row>
    <row r="77" spans="1:15" s="4" customFormat="1" ht="15" customHeight="1">
      <c r="A77" s="216" t="s">
        <v>24</v>
      </c>
      <c r="B77" s="216"/>
      <c r="C77" s="216"/>
      <c r="D77" s="216"/>
      <c r="E77" s="216"/>
      <c r="F77" s="216"/>
      <c r="G77" s="216"/>
      <c r="H77" s="216"/>
      <c r="I77" s="216"/>
      <c r="J77" s="216"/>
      <c r="K77" s="216"/>
      <c r="L77" s="216"/>
      <c r="M77" s="216"/>
      <c r="N77" s="96"/>
      <c r="O77" s="96"/>
    </row>
    <row r="78" spans="1:15" s="4" customFormat="1" ht="15" customHeight="1">
      <c r="A78" s="93"/>
      <c r="B78" s="54"/>
      <c r="C78" s="54"/>
      <c r="D78" s="54"/>
      <c r="E78" s="54"/>
      <c r="F78" s="54"/>
      <c r="G78" s="54"/>
      <c r="H78" s="54"/>
      <c r="I78" s="54"/>
      <c r="J78" s="54"/>
      <c r="K78" s="54"/>
      <c r="L78" s="54"/>
      <c r="M78" s="54"/>
      <c r="N78" s="94"/>
      <c r="O78" s="94"/>
    </row>
    <row r="79" spans="1:15" s="4" customFormat="1" ht="15" customHeight="1">
      <c r="A79" s="212" t="s">
        <v>25</v>
      </c>
      <c r="B79" s="212"/>
      <c r="C79" s="212"/>
      <c r="D79" s="212"/>
      <c r="E79" s="212"/>
      <c r="F79" s="212"/>
      <c r="G79" s="212"/>
      <c r="H79" s="212"/>
      <c r="I79" s="212"/>
      <c r="J79" s="212"/>
      <c r="K79" s="212"/>
      <c r="L79" s="212"/>
      <c r="M79" s="212"/>
      <c r="N79" s="93"/>
      <c r="O79" s="93"/>
    </row>
    <row r="80" spans="1:15" ht="15" customHeight="1">
      <c r="A80" s="136"/>
      <c r="B80" s="136"/>
      <c r="C80" s="74"/>
      <c r="D80" s="74"/>
      <c r="E80" s="74"/>
      <c r="F80" s="74"/>
      <c r="G80" s="74"/>
      <c r="H80" s="74"/>
      <c r="I80" s="74"/>
      <c r="J80" s="74"/>
      <c r="K80" s="74"/>
      <c r="L80" s="74"/>
      <c r="M80" s="74"/>
      <c r="N80" s="110"/>
      <c r="O80" s="110"/>
    </row>
    <row r="81" spans="1:15" ht="15" customHeight="1">
      <c r="A81" s="212" t="s">
        <v>20</v>
      </c>
      <c r="B81" s="212"/>
      <c r="C81" s="212"/>
      <c r="D81" s="212"/>
      <c r="E81" s="212"/>
      <c r="F81" s="212"/>
      <c r="G81" s="212"/>
      <c r="H81" s="212"/>
      <c r="I81" s="212"/>
      <c r="J81" s="212"/>
      <c r="K81" s="212"/>
      <c r="L81" s="212"/>
      <c r="M81" s="212"/>
      <c r="N81" s="170"/>
      <c r="O81" s="170"/>
    </row>
    <row r="82" spans="1:15" ht="15" customHeight="1">
      <c r="A82" s="136"/>
      <c r="B82" s="136"/>
      <c r="C82" s="74"/>
      <c r="D82" s="74"/>
      <c r="E82" s="74"/>
      <c r="F82" s="74"/>
      <c r="G82" s="74"/>
      <c r="H82" s="74"/>
      <c r="I82" s="74"/>
      <c r="J82" s="74"/>
      <c r="K82" s="74"/>
      <c r="L82" s="74"/>
      <c r="M82" s="74"/>
      <c r="N82" s="110"/>
      <c r="O82" s="110"/>
    </row>
    <row r="83" spans="1:15" s="28" customFormat="1" ht="14.25" customHeight="1">
      <c r="A83" s="211" t="s">
        <v>19</v>
      </c>
      <c r="B83" s="211"/>
      <c r="C83" s="211"/>
      <c r="D83" s="211"/>
      <c r="E83" s="211"/>
      <c r="F83" s="211"/>
      <c r="G83" s="211"/>
      <c r="H83" s="211"/>
      <c r="I83" s="211"/>
      <c r="J83" s="211"/>
      <c r="K83" s="211"/>
      <c r="L83" s="211"/>
      <c r="M83" s="211"/>
      <c r="N83" s="167"/>
      <c r="O83" s="167"/>
    </row>
    <row r="84" spans="1:15" s="4" customFormat="1" ht="15" customHeight="1">
      <c r="A84" s="93"/>
      <c r="B84" s="97"/>
      <c r="C84" s="97"/>
      <c r="D84" s="97"/>
      <c r="E84" s="97"/>
      <c r="F84" s="97"/>
      <c r="G84" s="97"/>
      <c r="H84" s="97"/>
      <c r="I84" s="97"/>
      <c r="J84" s="97"/>
      <c r="K84" s="97"/>
      <c r="L84" s="97"/>
      <c r="M84" s="97"/>
      <c r="N84" s="98"/>
      <c r="O84" s="98"/>
    </row>
    <row r="85" spans="1:15" s="4" customFormat="1" ht="15" customHeight="1">
      <c r="A85" s="212" t="s">
        <v>17</v>
      </c>
      <c r="B85" s="212"/>
      <c r="C85" s="212"/>
      <c r="D85" s="212"/>
      <c r="E85" s="212"/>
      <c r="F85" s="212"/>
      <c r="G85" s="212"/>
      <c r="H85" s="212"/>
      <c r="I85" s="212"/>
      <c r="J85" s="212"/>
      <c r="K85" s="212"/>
      <c r="L85" s="212"/>
      <c r="M85" s="212"/>
      <c r="N85" s="98"/>
      <c r="O85" s="98"/>
    </row>
    <row r="86" spans="1:15" s="4" customFormat="1" ht="15" customHeight="1">
      <c r="A86" s="93"/>
      <c r="B86" s="97"/>
      <c r="C86" s="97"/>
      <c r="D86" s="97"/>
      <c r="E86" s="97"/>
      <c r="F86" s="97"/>
      <c r="G86" s="97"/>
      <c r="H86" s="97"/>
      <c r="I86" s="97"/>
      <c r="J86" s="97"/>
      <c r="K86" s="97"/>
      <c r="L86" s="97"/>
      <c r="M86" s="97"/>
      <c r="N86" s="98"/>
      <c r="O86" s="98"/>
    </row>
    <row r="87" spans="1:15" s="4" customFormat="1" ht="15" customHeight="1">
      <c r="A87" s="212" t="s">
        <v>8</v>
      </c>
      <c r="B87" s="212"/>
      <c r="C87" s="212"/>
      <c r="D87" s="212"/>
      <c r="E87" s="212"/>
      <c r="F87" s="212"/>
      <c r="G87" s="212"/>
      <c r="H87" s="212"/>
      <c r="I87" s="212"/>
      <c r="J87" s="212"/>
      <c r="K87" s="212"/>
      <c r="L87" s="212"/>
      <c r="M87" s="212"/>
      <c r="N87" s="93"/>
      <c r="O87" s="93"/>
    </row>
    <row r="88" spans="1:15" ht="15" customHeight="1">
      <c r="A88" s="147"/>
      <c r="B88" s="147"/>
      <c r="C88" s="154"/>
      <c r="D88" s="154"/>
      <c r="E88" s="154"/>
      <c r="F88" s="154"/>
      <c r="G88" s="154"/>
      <c r="H88" s="154"/>
      <c r="I88" s="154"/>
      <c r="J88" s="154"/>
      <c r="K88" s="154"/>
      <c r="L88" s="154"/>
      <c r="M88" s="154"/>
      <c r="N88" s="122"/>
      <c r="O88" s="122"/>
    </row>
    <row r="89" spans="1:15" ht="15" customHeight="1">
      <c r="A89" s="136"/>
      <c r="B89" s="136"/>
      <c r="C89" s="74"/>
      <c r="D89" s="74"/>
      <c r="E89" s="74"/>
      <c r="F89" s="74"/>
      <c r="G89" s="74"/>
      <c r="H89" s="74"/>
      <c r="I89" s="74"/>
      <c r="J89" s="74"/>
      <c r="K89" s="74"/>
      <c r="L89" s="74"/>
      <c r="M89" s="74"/>
      <c r="N89" s="110"/>
      <c r="O89" s="110"/>
    </row>
    <row r="90" spans="1:15" ht="15" customHeight="1">
      <c r="A90" s="61"/>
      <c r="B90" s="61"/>
      <c r="C90" s="110"/>
      <c r="D90" s="110"/>
      <c r="E90" s="110"/>
      <c r="F90" s="110"/>
      <c r="G90" s="110"/>
      <c r="H90" s="110"/>
      <c r="I90" s="110"/>
      <c r="J90" s="110"/>
      <c r="K90" s="110"/>
      <c r="L90" s="110"/>
      <c r="M90" s="110"/>
      <c r="N90" s="110"/>
      <c r="O90" s="110"/>
    </row>
  </sheetData>
  <sheetProtection sheet="1" objects="1" scenarios="1"/>
  <mergeCells count="11">
    <mergeCell ref="A87:M87"/>
    <mergeCell ref="A85:M85"/>
    <mergeCell ref="A83:M83"/>
    <mergeCell ref="A81:M81"/>
    <mergeCell ref="A5:O5"/>
    <mergeCell ref="C8:L8"/>
    <mergeCell ref="N8:O8"/>
    <mergeCell ref="B43:M43"/>
    <mergeCell ref="A75:M75"/>
    <mergeCell ref="A77:M77"/>
    <mergeCell ref="A79:M79"/>
  </mergeCells>
  <hyperlinks>
    <hyperlink ref="A2" r:id="rId1" display="https://www.cbo.gov/publication/61198" xr:uid="{A00B559F-B97F-4F0B-B451-9CC56A79A4FE}"/>
  </hyperlinks>
  <pageMargins left="0.75" right="0.75" top="1" bottom="1" header="0.5" footer="0.5"/>
  <pageSetup scale="75"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92"/>
  <sheetViews>
    <sheetView zoomScaleNormal="100" workbookViewId="0"/>
  </sheetViews>
  <sheetFormatPr baseColWidth="10" defaultColWidth="12.5" defaultRowHeight="15" customHeight="1"/>
  <cols>
    <col min="1" max="1" width="54.5" style="73" customWidth="1"/>
    <col min="2" max="14" width="7.5" style="73" customWidth="1"/>
    <col min="15" max="15" width="7.83203125" style="73" customWidth="1"/>
    <col min="16" max="16384" width="12.5" style="73"/>
  </cols>
  <sheetData>
    <row r="1" spans="1:15" s="4" customFormat="1" ht="15" customHeight="1">
      <c r="A1" s="2" t="s">
        <v>101</v>
      </c>
      <c r="B1" s="3"/>
      <c r="C1" s="3"/>
      <c r="D1" s="3"/>
      <c r="E1" s="3"/>
      <c r="F1" s="3"/>
      <c r="G1" s="3"/>
      <c r="H1" s="3"/>
      <c r="I1" s="3"/>
      <c r="J1" s="3"/>
      <c r="K1" s="3"/>
      <c r="L1" s="3"/>
      <c r="M1" s="3"/>
      <c r="N1" s="3"/>
      <c r="O1" s="3"/>
    </row>
    <row r="2" spans="1:15" s="4" customFormat="1" ht="15" customHeight="1">
      <c r="A2" s="210" t="s">
        <v>119</v>
      </c>
      <c r="B2" s="3"/>
      <c r="C2" s="3"/>
      <c r="D2" s="3"/>
      <c r="E2" s="3"/>
      <c r="F2" s="3"/>
      <c r="G2" s="3"/>
      <c r="H2" s="3"/>
      <c r="I2" s="3"/>
      <c r="J2" s="3"/>
      <c r="K2" s="3"/>
      <c r="L2" s="3"/>
      <c r="M2" s="3"/>
      <c r="N2" s="3"/>
      <c r="O2" s="3"/>
    </row>
    <row r="3" spans="1:15" s="4" customFormat="1" ht="15" customHeight="1">
      <c r="A3" s="165"/>
      <c r="B3" s="3"/>
      <c r="C3" s="3"/>
      <c r="D3" s="3"/>
      <c r="E3" s="3"/>
      <c r="F3" s="3"/>
      <c r="G3" s="3"/>
      <c r="H3" s="3"/>
      <c r="I3" s="3"/>
      <c r="J3" s="3"/>
      <c r="K3" s="3"/>
      <c r="L3" s="3"/>
      <c r="M3" s="3"/>
      <c r="N3" s="3"/>
      <c r="O3" s="3"/>
    </row>
    <row r="4" spans="1:15" ht="15" customHeight="1">
      <c r="A4" s="110"/>
      <c r="B4" s="110"/>
      <c r="C4" s="110"/>
      <c r="D4" s="110"/>
      <c r="E4" s="110"/>
      <c r="F4" s="110"/>
      <c r="G4" s="110"/>
      <c r="H4" s="110"/>
      <c r="I4" s="110"/>
      <c r="J4" s="110"/>
      <c r="K4" s="110"/>
      <c r="L4" s="110"/>
      <c r="M4" s="110"/>
      <c r="N4" s="110"/>
      <c r="O4" s="110"/>
    </row>
    <row r="5" spans="1:15" ht="15" customHeight="1">
      <c r="A5" s="225" t="s">
        <v>95</v>
      </c>
      <c r="B5" s="225"/>
      <c r="C5" s="225"/>
      <c r="D5" s="225"/>
      <c r="E5" s="225"/>
      <c r="F5" s="225"/>
      <c r="G5" s="225"/>
      <c r="H5" s="225"/>
      <c r="I5" s="225"/>
      <c r="J5" s="225"/>
      <c r="K5" s="225"/>
      <c r="L5" s="225"/>
      <c r="M5" s="225"/>
      <c r="N5" s="225"/>
      <c r="O5" s="225"/>
    </row>
    <row r="6" spans="1:15" ht="15" customHeight="1">
      <c r="A6" s="121" t="s">
        <v>83</v>
      </c>
      <c r="B6" s="121"/>
      <c r="C6" s="121"/>
      <c r="D6" s="121"/>
      <c r="E6" s="121"/>
      <c r="F6" s="121"/>
      <c r="G6" s="121"/>
      <c r="H6" s="121"/>
      <c r="I6" s="121"/>
      <c r="J6" s="121"/>
      <c r="K6" s="121"/>
      <c r="L6" s="121"/>
      <c r="M6" s="121"/>
      <c r="N6" s="122"/>
      <c r="O6" s="122"/>
    </row>
    <row r="7" spans="1:15" ht="15" customHeight="1">
      <c r="A7" s="122"/>
      <c r="B7" s="122"/>
      <c r="C7" s="122"/>
      <c r="D7" s="122"/>
      <c r="E7" s="122"/>
      <c r="F7" s="122"/>
      <c r="G7" s="122"/>
      <c r="H7" s="122"/>
      <c r="I7" s="122"/>
      <c r="J7" s="122"/>
      <c r="K7" s="122"/>
      <c r="L7" s="122"/>
      <c r="M7" s="122"/>
      <c r="N7" s="123"/>
      <c r="O7" s="123"/>
    </row>
    <row r="8" spans="1:15" s="13" customFormat="1" ht="15" customHeight="1">
      <c r="A8" s="9"/>
      <c r="B8" s="47"/>
      <c r="C8" s="220"/>
      <c r="D8" s="220"/>
      <c r="E8" s="220"/>
      <c r="F8" s="220"/>
      <c r="G8" s="220"/>
      <c r="H8" s="220"/>
      <c r="I8" s="220"/>
      <c r="J8" s="220"/>
      <c r="K8" s="220"/>
      <c r="L8" s="220"/>
      <c r="M8" s="171"/>
      <c r="N8" s="218" t="s">
        <v>15</v>
      </c>
      <c r="O8" s="218"/>
    </row>
    <row r="9" spans="1:15" s="13" customFormat="1" ht="15" customHeight="1">
      <c r="A9" s="9"/>
      <c r="B9" s="47"/>
      <c r="C9" s="47"/>
      <c r="D9" s="47"/>
      <c r="E9" s="47"/>
      <c r="F9" s="47"/>
      <c r="G9" s="47"/>
      <c r="H9" s="47"/>
      <c r="I9" s="47"/>
      <c r="J9" s="47"/>
      <c r="K9" s="47"/>
      <c r="L9" s="47"/>
      <c r="M9" s="47"/>
      <c r="N9" s="48" t="s">
        <v>91</v>
      </c>
      <c r="O9" s="48" t="s">
        <v>91</v>
      </c>
    </row>
    <row r="10" spans="1:15" s="13" customFormat="1" ht="15" customHeight="1">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c r="A11" s="124" t="s">
        <v>59</v>
      </c>
      <c r="B11" s="125" t="s">
        <v>3</v>
      </c>
      <c r="C11" s="189">
        <v>-2.5630000000000002</v>
      </c>
      <c r="D11" s="189">
        <v>-2.5649999999999999</v>
      </c>
      <c r="E11" s="189">
        <v>-1.6779999999999999</v>
      </c>
      <c r="F11" s="189">
        <v>-0.88</v>
      </c>
      <c r="G11" s="189">
        <v>-0.17299999999999999</v>
      </c>
      <c r="H11" s="189">
        <v>0.5</v>
      </c>
      <c r="I11" s="189">
        <v>1.0109999999999999</v>
      </c>
      <c r="J11" s="189">
        <v>1.5129999999999999</v>
      </c>
      <c r="K11" s="189">
        <v>1.9330000000000001</v>
      </c>
      <c r="L11" s="189">
        <v>2.2890000000000001</v>
      </c>
      <c r="M11" s="189">
        <v>2.6349999999999998</v>
      </c>
      <c r="N11" s="189">
        <v>-4.7960000000000003</v>
      </c>
      <c r="O11" s="189">
        <v>4.585</v>
      </c>
    </row>
    <row r="12" spans="1:15" ht="15" customHeight="1">
      <c r="A12" s="155"/>
      <c r="B12" s="125"/>
      <c r="C12" s="126"/>
      <c r="D12" s="126"/>
      <c r="E12" s="126"/>
      <c r="F12" s="126"/>
      <c r="G12" s="126"/>
      <c r="H12" s="126"/>
      <c r="I12" s="126"/>
      <c r="J12" s="126"/>
      <c r="K12" s="126"/>
      <c r="L12" s="126"/>
      <c r="M12" s="126"/>
      <c r="N12" s="127"/>
      <c r="O12" s="127"/>
    </row>
    <row r="13" spans="1:15" ht="15" customHeight="1">
      <c r="A13" s="124" t="s">
        <v>61</v>
      </c>
      <c r="B13" s="125"/>
      <c r="C13" s="126"/>
      <c r="D13" s="126"/>
      <c r="E13" s="126"/>
      <c r="F13" s="126"/>
      <c r="G13" s="126"/>
      <c r="H13" s="126"/>
      <c r="I13" s="126"/>
      <c r="J13" s="126"/>
      <c r="K13" s="126"/>
      <c r="L13" s="126"/>
      <c r="M13" s="126"/>
      <c r="N13" s="127"/>
      <c r="O13" s="127"/>
    </row>
    <row r="14" spans="1:15" ht="15" customHeight="1">
      <c r="A14" s="156" t="s">
        <v>0</v>
      </c>
      <c r="B14" s="125" t="s">
        <v>3</v>
      </c>
      <c r="C14" s="126">
        <v>0</v>
      </c>
      <c r="D14" s="126">
        <v>0</v>
      </c>
      <c r="E14" s="126">
        <v>0</v>
      </c>
      <c r="F14" s="126">
        <v>0</v>
      </c>
      <c r="G14" s="126">
        <v>0</v>
      </c>
      <c r="H14" s="126">
        <v>0</v>
      </c>
      <c r="I14" s="126">
        <v>0</v>
      </c>
      <c r="J14" s="126">
        <v>0</v>
      </c>
      <c r="K14" s="126">
        <v>0</v>
      </c>
      <c r="L14" s="126">
        <v>0</v>
      </c>
      <c r="M14" s="126">
        <v>0</v>
      </c>
      <c r="N14" s="126">
        <v>0</v>
      </c>
      <c r="O14" s="126">
        <v>0</v>
      </c>
    </row>
    <row r="15" spans="1:15" ht="15" customHeight="1">
      <c r="A15" s="156"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c r="A16" s="53" t="s">
        <v>49</v>
      </c>
      <c r="B16" s="125"/>
      <c r="C16" s="126"/>
      <c r="D16" s="126"/>
      <c r="E16" s="126"/>
      <c r="F16" s="126"/>
      <c r="G16" s="126"/>
      <c r="H16" s="126"/>
      <c r="I16" s="126"/>
      <c r="J16" s="126"/>
      <c r="K16" s="126"/>
      <c r="L16" s="126"/>
      <c r="M16" s="126"/>
      <c r="N16" s="127"/>
      <c r="O16" s="127"/>
    </row>
    <row r="17" spans="1:15" ht="15" customHeight="1">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c r="A18" s="157" t="s">
        <v>7</v>
      </c>
      <c r="B18" s="125" t="s">
        <v>3</v>
      </c>
      <c r="C18" s="190">
        <v>8.3000000000000004E-2</v>
      </c>
      <c r="D18" s="190">
        <v>0.59299999999999997</v>
      </c>
      <c r="E18" s="190">
        <v>1.2390000000000001</v>
      </c>
      <c r="F18" s="190">
        <v>2.0350000000000001</v>
      </c>
      <c r="G18" s="190">
        <v>2.9660000000000002</v>
      </c>
      <c r="H18" s="190">
        <v>4.0430000000000001</v>
      </c>
      <c r="I18" s="190">
        <v>5.24</v>
      </c>
      <c r="J18" s="190">
        <v>6.5789999999999997</v>
      </c>
      <c r="K18" s="190">
        <v>8.0500000000000007</v>
      </c>
      <c r="L18" s="190">
        <v>9.66</v>
      </c>
      <c r="M18" s="190">
        <v>11.428000000000001</v>
      </c>
      <c r="N18" s="189">
        <v>10.876000000000001</v>
      </c>
      <c r="O18" s="189">
        <v>51.832999999999998</v>
      </c>
    </row>
    <row r="19" spans="1:15" ht="3" customHeight="1">
      <c r="A19" s="155"/>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c r="A20" s="158" t="s">
        <v>50</v>
      </c>
      <c r="B20" s="125" t="s">
        <v>3</v>
      </c>
      <c r="C20" s="189">
        <v>5.3020000000000005</v>
      </c>
      <c r="D20" s="189">
        <v>13.335000000000001</v>
      </c>
      <c r="E20" s="189">
        <v>18.685000000000002</v>
      </c>
      <c r="F20" s="189">
        <v>23.736000000000001</v>
      </c>
      <c r="G20" s="189">
        <v>28.608000000000001</v>
      </c>
      <c r="H20" s="189">
        <v>33.518999999999998</v>
      </c>
      <c r="I20" s="189">
        <v>38.082000000000001</v>
      </c>
      <c r="J20" s="189">
        <v>42.896000000000001</v>
      </c>
      <c r="K20" s="189">
        <v>47.427000000000007</v>
      </c>
      <c r="L20" s="189">
        <v>52.247</v>
      </c>
      <c r="M20" s="189">
        <v>56.954000000000008</v>
      </c>
      <c r="N20" s="189">
        <v>117.88300000000001</v>
      </c>
      <c r="O20" s="189">
        <v>355.48900000000003</v>
      </c>
    </row>
    <row r="21" spans="1:15" ht="15" customHeight="1">
      <c r="A21" s="155"/>
      <c r="B21" s="125"/>
      <c r="C21" s="126"/>
      <c r="D21" s="126"/>
      <c r="E21" s="126"/>
      <c r="F21" s="126"/>
      <c r="G21" s="126"/>
      <c r="H21" s="126"/>
      <c r="I21" s="126"/>
      <c r="J21" s="126"/>
      <c r="K21" s="126"/>
      <c r="L21" s="126"/>
      <c r="M21" s="126"/>
      <c r="N21" s="126"/>
      <c r="O21" s="126"/>
    </row>
    <row r="22" spans="1:15" ht="15" customHeight="1">
      <c r="A22" s="130" t="s">
        <v>62</v>
      </c>
      <c r="B22" s="125" t="s">
        <v>3</v>
      </c>
      <c r="C22" s="189">
        <v>5.3020000000000005</v>
      </c>
      <c r="D22" s="189">
        <v>13.335000000000001</v>
      </c>
      <c r="E22" s="189">
        <v>18.685000000000002</v>
      </c>
      <c r="F22" s="189">
        <v>23.736000000000001</v>
      </c>
      <c r="G22" s="189">
        <v>28.608000000000001</v>
      </c>
      <c r="H22" s="189">
        <v>33.518999999999998</v>
      </c>
      <c r="I22" s="189">
        <v>38.082000000000001</v>
      </c>
      <c r="J22" s="189">
        <v>42.896000000000001</v>
      </c>
      <c r="K22" s="189">
        <v>47.427000000000007</v>
      </c>
      <c r="L22" s="189">
        <v>52.247</v>
      </c>
      <c r="M22" s="189">
        <v>56.954000000000008</v>
      </c>
      <c r="N22" s="189">
        <v>117.88300000000001</v>
      </c>
      <c r="O22" s="189">
        <v>355.48900000000003</v>
      </c>
    </row>
    <row r="23" spans="1:15" ht="15" customHeight="1">
      <c r="A23" s="124"/>
      <c r="B23" s="125"/>
      <c r="C23" s="126"/>
      <c r="D23" s="126"/>
      <c r="E23" s="126"/>
      <c r="F23" s="126"/>
      <c r="G23" s="126"/>
      <c r="H23" s="126"/>
      <c r="I23" s="126"/>
      <c r="J23" s="126"/>
      <c r="K23" s="126"/>
      <c r="L23" s="126"/>
      <c r="M23" s="126"/>
      <c r="N23" s="126"/>
      <c r="O23" s="126"/>
    </row>
    <row r="24" spans="1:15" ht="30" customHeight="1">
      <c r="A24" s="59" t="s">
        <v>104</v>
      </c>
      <c r="B24" s="131" t="s">
        <v>3</v>
      </c>
      <c r="C24" s="191">
        <v>-7.8650000000000002</v>
      </c>
      <c r="D24" s="191">
        <v>-15.9</v>
      </c>
      <c r="E24" s="191">
        <v>-20.363000000000003</v>
      </c>
      <c r="F24" s="191">
        <v>-24.616</v>
      </c>
      <c r="G24" s="191">
        <v>-28.780999999999999</v>
      </c>
      <c r="H24" s="191">
        <v>-33.018999999999998</v>
      </c>
      <c r="I24" s="191">
        <v>-37.070999999999998</v>
      </c>
      <c r="J24" s="191">
        <v>-41.383000000000003</v>
      </c>
      <c r="K24" s="191">
        <v>-45.494000000000007</v>
      </c>
      <c r="L24" s="191">
        <v>-49.957999999999998</v>
      </c>
      <c r="M24" s="191">
        <v>-54.31900000000001</v>
      </c>
      <c r="N24" s="191">
        <v>-122.679</v>
      </c>
      <c r="O24" s="191">
        <v>-350.90400000000005</v>
      </c>
    </row>
    <row r="25" spans="1:15" ht="15" customHeight="1">
      <c r="A25" s="159"/>
      <c r="B25" s="132"/>
      <c r="C25" s="149"/>
      <c r="D25" s="149"/>
      <c r="E25" s="149"/>
      <c r="F25" s="149"/>
      <c r="G25" s="149"/>
      <c r="H25" s="149"/>
      <c r="I25" s="149"/>
      <c r="J25" s="149"/>
      <c r="K25" s="149"/>
      <c r="L25" s="149"/>
      <c r="M25" s="149"/>
      <c r="N25" s="149"/>
      <c r="O25" s="150"/>
    </row>
    <row r="26" spans="1:15" ht="15" customHeight="1">
      <c r="A26" s="64" t="s">
        <v>64</v>
      </c>
      <c r="B26" s="135"/>
      <c r="C26" s="74"/>
      <c r="D26" s="74"/>
      <c r="E26" s="74"/>
      <c r="F26" s="74"/>
      <c r="G26" s="74"/>
      <c r="H26" s="74"/>
      <c r="I26" s="74"/>
      <c r="J26" s="74"/>
      <c r="K26" s="74"/>
      <c r="L26" s="74"/>
      <c r="M26" s="74"/>
      <c r="N26" s="74"/>
      <c r="O26" s="74"/>
    </row>
    <row r="27" spans="1:15" ht="15" customHeight="1">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c r="A28" s="176" t="s">
        <v>117</v>
      </c>
      <c r="B28" s="141">
        <v>-1832.3809999999994</v>
      </c>
      <c r="C28" s="151">
        <v>-1873.1160000000002</v>
      </c>
      <c r="D28" s="151">
        <v>-1729.1579999999999</v>
      </c>
      <c r="E28" s="151">
        <v>-1707.3050000000001</v>
      </c>
      <c r="F28" s="151">
        <v>-1935.3920000000007</v>
      </c>
      <c r="G28" s="151">
        <v>-1967.0489999999991</v>
      </c>
      <c r="H28" s="151">
        <v>-2172.7400000000011</v>
      </c>
      <c r="I28" s="151">
        <v>-2269.8569999999991</v>
      </c>
      <c r="J28" s="151">
        <v>-2411.9650000000001</v>
      </c>
      <c r="K28" s="151">
        <v>-2682.7929999999983</v>
      </c>
      <c r="L28" s="151">
        <v>-2647.2079999999992</v>
      </c>
      <c r="M28" s="151">
        <v>-2585.6969999999988</v>
      </c>
      <c r="N28" s="151">
        <v>-9511.6440000000002</v>
      </c>
      <c r="O28" s="151">
        <v>-22109.163999999997</v>
      </c>
    </row>
    <row r="29" spans="1:15" s="63" customFormat="1" ht="15" customHeight="1">
      <c r="A29" s="61"/>
      <c r="B29" s="62"/>
      <c r="C29" s="62"/>
      <c r="D29" s="62"/>
      <c r="E29" s="62"/>
      <c r="F29" s="62"/>
      <c r="G29" s="62"/>
      <c r="H29" s="62"/>
      <c r="I29" s="62"/>
      <c r="J29" s="62"/>
      <c r="K29" s="62"/>
      <c r="L29" s="62"/>
      <c r="M29" s="62"/>
      <c r="N29" s="62"/>
      <c r="O29" s="62"/>
    </row>
    <row r="30" spans="1:15" s="63" customFormat="1" ht="15" customHeight="1">
      <c r="A30" s="64" t="s">
        <v>65</v>
      </c>
      <c r="B30" s="62"/>
      <c r="C30" s="65"/>
      <c r="D30" s="65"/>
      <c r="E30" s="65"/>
      <c r="F30" s="65"/>
      <c r="G30" s="65"/>
      <c r="H30" s="65"/>
      <c r="I30" s="65"/>
      <c r="J30" s="65"/>
      <c r="K30" s="65"/>
      <c r="L30" s="65"/>
      <c r="M30" s="65"/>
      <c r="N30" s="62"/>
      <c r="O30" s="62"/>
    </row>
    <row r="31" spans="1:15" s="63" customFormat="1" ht="15" customHeight="1">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c r="A32" s="67" t="s">
        <v>117</v>
      </c>
      <c r="B32" s="141">
        <v>28199.312999999998</v>
      </c>
      <c r="C32" s="69">
        <v>30110.614000000001</v>
      </c>
      <c r="D32" s="69">
        <v>31906.398000000001</v>
      </c>
      <c r="E32" s="69">
        <v>33680.233</v>
      </c>
      <c r="F32" s="69">
        <v>35669.383999999998</v>
      </c>
      <c r="G32" s="69">
        <v>37678.025000000001</v>
      </c>
      <c r="H32" s="69">
        <v>39878.195</v>
      </c>
      <c r="I32" s="69">
        <v>42160</v>
      </c>
      <c r="J32" s="69">
        <v>44580.752999999997</v>
      </c>
      <c r="K32" s="69">
        <v>47239.521000000001</v>
      </c>
      <c r="L32" s="69">
        <v>49859.953999999998</v>
      </c>
      <c r="M32" s="69">
        <v>52414.635000000002</v>
      </c>
      <c r="N32" s="51" t="s">
        <v>3</v>
      </c>
      <c r="O32" s="51" t="s">
        <v>3</v>
      </c>
    </row>
    <row r="33" spans="1:15" s="63" customFormat="1" ht="15" customHeight="1">
      <c r="A33" s="61"/>
      <c r="B33" s="62"/>
      <c r="C33" s="62"/>
      <c r="D33" s="62"/>
      <c r="E33" s="62"/>
      <c r="F33" s="62"/>
      <c r="G33" s="62"/>
      <c r="H33" s="62"/>
      <c r="I33" s="62"/>
      <c r="J33" s="62"/>
      <c r="K33" s="62"/>
      <c r="L33" s="62"/>
      <c r="M33" s="62"/>
      <c r="N33" s="62"/>
      <c r="O33" s="62"/>
    </row>
    <row r="34" spans="1:15" s="63" customFormat="1" ht="15" customHeight="1">
      <c r="A34" s="64" t="s">
        <v>66</v>
      </c>
      <c r="B34" s="62"/>
      <c r="C34" s="65"/>
      <c r="D34" s="65"/>
      <c r="E34" s="65"/>
      <c r="F34" s="65"/>
      <c r="G34" s="65"/>
      <c r="H34" s="65"/>
      <c r="I34" s="65"/>
      <c r="J34" s="65"/>
      <c r="K34" s="65"/>
      <c r="L34" s="65"/>
      <c r="M34" s="65"/>
      <c r="N34" s="62"/>
      <c r="O34" s="62"/>
    </row>
    <row r="35" spans="1:15" s="63" customFormat="1" ht="15" customHeight="1">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c r="A36" s="67" t="s">
        <v>117</v>
      </c>
      <c r="B36" s="140">
        <v>-6.356215750736907</v>
      </c>
      <c r="C36" s="173">
        <v>-6.2160000000000002</v>
      </c>
      <c r="D36" s="173">
        <v>-5.5170000000000003</v>
      </c>
      <c r="E36" s="173">
        <v>-5.2469999999999999</v>
      </c>
      <c r="F36" s="173">
        <v>-5.7320000000000002</v>
      </c>
      <c r="G36" s="173">
        <v>-5.6130000000000004</v>
      </c>
      <c r="H36" s="173">
        <v>-5.97</v>
      </c>
      <c r="I36" s="173">
        <v>-6.0060000000000002</v>
      </c>
      <c r="J36" s="173">
        <v>-6.1449999999999996</v>
      </c>
      <c r="K36" s="173">
        <v>-6.5810000000000004</v>
      </c>
      <c r="L36" s="173">
        <v>-6.2539999999999996</v>
      </c>
      <c r="M36" s="173">
        <v>-5.8849999999999998</v>
      </c>
      <c r="N36" s="173">
        <v>-5.625</v>
      </c>
      <c r="O36" s="173">
        <v>-5.9249999999999998</v>
      </c>
    </row>
    <row r="37" spans="1:15" s="63" customFormat="1" ht="15" customHeight="1">
      <c r="A37" s="61"/>
      <c r="B37" s="62"/>
      <c r="C37" s="62"/>
      <c r="D37" s="62"/>
      <c r="E37" s="62"/>
      <c r="F37" s="62"/>
      <c r="G37" s="62"/>
      <c r="H37" s="62"/>
      <c r="I37" s="62"/>
      <c r="J37" s="62"/>
      <c r="K37" s="62"/>
      <c r="L37" s="62"/>
      <c r="M37" s="62"/>
      <c r="N37" s="62"/>
      <c r="O37" s="62"/>
    </row>
    <row r="38" spans="1:15" s="63" customFormat="1" ht="15" customHeight="1">
      <c r="A38" s="64" t="s">
        <v>67</v>
      </c>
      <c r="B38" s="62"/>
      <c r="C38" s="65"/>
      <c r="D38" s="65"/>
      <c r="E38" s="65"/>
      <c r="F38" s="65"/>
      <c r="G38" s="65"/>
      <c r="H38" s="65"/>
      <c r="I38" s="65"/>
      <c r="J38" s="65"/>
      <c r="K38" s="65"/>
      <c r="L38" s="65"/>
      <c r="M38" s="65"/>
      <c r="N38" s="62"/>
      <c r="O38" s="62"/>
    </row>
    <row r="39" spans="1:15" s="63" customFormat="1" ht="15" customHeight="1">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c r="A40" s="67" t="s">
        <v>117</v>
      </c>
      <c r="B40" s="140">
        <v>97.818585463700003</v>
      </c>
      <c r="C40" s="173">
        <v>99.915000000000006</v>
      </c>
      <c r="D40" s="173">
        <v>101.803</v>
      </c>
      <c r="E40" s="173">
        <v>103.51</v>
      </c>
      <c r="F40" s="173">
        <v>105.642</v>
      </c>
      <c r="G40" s="173">
        <v>107.50700000000001</v>
      </c>
      <c r="H40" s="173">
        <v>109.574</v>
      </c>
      <c r="I40" s="173">
        <v>111.55800000000001</v>
      </c>
      <c r="J40" s="173">
        <v>113.575</v>
      </c>
      <c r="K40" s="173">
        <v>115.874</v>
      </c>
      <c r="L40" s="173">
        <v>117.788</v>
      </c>
      <c r="M40" s="173">
        <v>119.29600000000001</v>
      </c>
      <c r="N40" s="51" t="s">
        <v>3</v>
      </c>
      <c r="O40" s="51" t="s">
        <v>3</v>
      </c>
    </row>
    <row r="41" spans="1:15" ht="15" customHeight="1">
      <c r="A41" s="70"/>
      <c r="B41" s="70"/>
      <c r="C41" s="153"/>
      <c r="D41" s="153"/>
      <c r="E41" s="153"/>
      <c r="F41" s="153"/>
      <c r="G41" s="153"/>
      <c r="H41" s="153"/>
      <c r="I41" s="153"/>
      <c r="J41" s="153"/>
      <c r="K41" s="153"/>
      <c r="L41" s="153"/>
      <c r="M41" s="153"/>
      <c r="N41" s="153"/>
      <c r="O41" s="153"/>
    </row>
    <row r="42" spans="1:15" ht="15" customHeight="1">
      <c r="A42" s="66"/>
      <c r="B42" s="74"/>
      <c r="C42" s="74"/>
      <c r="D42" s="74"/>
      <c r="E42" s="74"/>
      <c r="F42" s="74"/>
      <c r="G42" s="74"/>
      <c r="H42" s="74"/>
      <c r="I42" s="74"/>
      <c r="J42" s="74"/>
      <c r="K42" s="74"/>
      <c r="L42" s="74"/>
      <c r="M42" s="74"/>
    </row>
    <row r="43" spans="1:15" ht="30.75" customHeight="1">
      <c r="B43" s="215" t="s">
        <v>118</v>
      </c>
      <c r="C43" s="215"/>
      <c r="D43" s="215"/>
      <c r="E43" s="215"/>
      <c r="F43" s="215"/>
      <c r="G43" s="215"/>
      <c r="H43" s="215"/>
      <c r="I43" s="215"/>
      <c r="J43" s="215"/>
      <c r="K43" s="215"/>
      <c r="L43" s="215"/>
      <c r="M43" s="215"/>
      <c r="N43" s="75"/>
    </row>
    <row r="44" spans="1:15" ht="15" customHeight="1">
      <c r="B44" s="169"/>
      <c r="C44" s="169"/>
      <c r="D44" s="169"/>
      <c r="E44" s="169"/>
      <c r="F44" s="169"/>
      <c r="G44" s="169"/>
      <c r="H44" s="169"/>
      <c r="I44" s="169"/>
      <c r="J44" s="169"/>
      <c r="K44" s="169"/>
      <c r="L44" s="169"/>
      <c r="M44" s="169"/>
      <c r="N44" s="75"/>
    </row>
    <row r="45" spans="1:15" ht="15" customHeight="1">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c r="A46" s="64" t="s">
        <v>68</v>
      </c>
      <c r="B46" s="64"/>
      <c r="C46" s="137"/>
      <c r="D46" s="137"/>
      <c r="E46" s="137"/>
      <c r="F46" s="137"/>
      <c r="G46" s="137"/>
      <c r="H46" s="137"/>
      <c r="I46" s="137"/>
      <c r="J46" s="137"/>
      <c r="K46" s="137"/>
      <c r="L46" s="137"/>
      <c r="M46" s="137"/>
      <c r="N46" s="138"/>
      <c r="O46" s="78"/>
    </row>
    <row r="47" spans="1:15" s="28" customFormat="1" ht="15" customHeight="1">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c r="A48" s="67" t="s">
        <v>117</v>
      </c>
      <c r="B48" s="82">
        <v>2.734</v>
      </c>
      <c r="C48" s="82">
        <v>2.1240000000000001</v>
      </c>
      <c r="D48" s="82">
        <v>1.827</v>
      </c>
      <c r="E48" s="82">
        <v>1.7629999999999999</v>
      </c>
      <c r="F48" s="82">
        <v>1.744</v>
      </c>
      <c r="G48" s="82">
        <v>1.786</v>
      </c>
      <c r="H48" s="82">
        <v>1.821</v>
      </c>
      <c r="I48" s="82">
        <v>1.8220000000000001</v>
      </c>
      <c r="J48" s="82">
        <v>1.8420000000000001</v>
      </c>
      <c r="K48" s="82">
        <v>1.8260000000000001</v>
      </c>
      <c r="L48" s="82">
        <v>1.7969999999999999</v>
      </c>
      <c r="M48" s="82">
        <v>1.76</v>
      </c>
      <c r="N48" s="80"/>
      <c r="O48" s="80"/>
    </row>
    <row r="49" spans="1:15" s="79" customFormat="1" ht="15" customHeight="1">
      <c r="A49" s="64" t="s">
        <v>69</v>
      </c>
      <c r="B49" s="84"/>
      <c r="C49" s="77"/>
      <c r="D49" s="77"/>
      <c r="E49" s="77"/>
      <c r="F49" s="77"/>
      <c r="G49" s="77"/>
      <c r="H49" s="77"/>
      <c r="I49" s="77"/>
      <c r="J49" s="77"/>
      <c r="K49" s="77"/>
      <c r="L49" s="77"/>
      <c r="M49" s="77"/>
      <c r="N49" s="78"/>
      <c r="O49" s="78"/>
    </row>
    <row r="50" spans="1:15" s="28" customFormat="1" ht="15" customHeight="1">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c r="A51" s="67" t="s">
        <v>117</v>
      </c>
      <c r="B51" s="68">
        <v>23290.9</v>
      </c>
      <c r="C51" s="68">
        <v>23785.8</v>
      </c>
      <c r="D51" s="68">
        <v>24220.5</v>
      </c>
      <c r="E51" s="68">
        <v>24647.599999999999</v>
      </c>
      <c r="F51" s="68">
        <v>25077.7</v>
      </c>
      <c r="G51" s="68">
        <v>25525.599999999999</v>
      </c>
      <c r="H51" s="68">
        <v>25990.7</v>
      </c>
      <c r="I51" s="68">
        <v>26464.3</v>
      </c>
      <c r="J51" s="68">
        <v>26952</v>
      </c>
      <c r="K51" s="68">
        <v>27444.400000000001</v>
      </c>
      <c r="L51" s="68">
        <v>27937.8</v>
      </c>
      <c r="M51" s="68">
        <v>28429.599999999999</v>
      </c>
      <c r="N51" s="80"/>
      <c r="O51" s="80"/>
    </row>
    <row r="52" spans="1:15" s="79" customFormat="1" ht="15" customHeight="1">
      <c r="A52" s="64" t="s">
        <v>70</v>
      </c>
      <c r="B52" s="88"/>
      <c r="C52" s="88"/>
      <c r="D52" s="88"/>
      <c r="E52" s="88"/>
      <c r="F52" s="88"/>
      <c r="G52" s="88"/>
      <c r="H52" s="88"/>
      <c r="I52" s="88"/>
      <c r="J52" s="88"/>
      <c r="K52" s="88"/>
      <c r="L52" s="88"/>
      <c r="M52" s="88"/>
      <c r="N52" s="78"/>
      <c r="O52" s="78"/>
    </row>
    <row r="53" spans="1:15" s="28" customFormat="1" ht="15" customHeight="1">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c r="A54" s="67" t="s">
        <v>117</v>
      </c>
      <c r="B54" s="68">
        <v>29166.2</v>
      </c>
      <c r="C54" s="68">
        <v>30441.1</v>
      </c>
      <c r="D54" s="68">
        <v>31640.6</v>
      </c>
      <c r="E54" s="68">
        <v>32841</v>
      </c>
      <c r="F54" s="68">
        <v>34078.400000000001</v>
      </c>
      <c r="G54" s="68">
        <v>35378.400000000001</v>
      </c>
      <c r="H54" s="68">
        <v>36738.800000000003</v>
      </c>
      <c r="I54" s="68">
        <v>38151.300000000003</v>
      </c>
      <c r="J54" s="68">
        <v>39626.699999999997</v>
      </c>
      <c r="K54" s="68">
        <v>41154.199999999997</v>
      </c>
      <c r="L54" s="68">
        <v>42727.6</v>
      </c>
      <c r="M54" s="68">
        <v>44345.4</v>
      </c>
      <c r="N54" s="80"/>
      <c r="O54" s="80"/>
    </row>
    <row r="55" spans="1:15" s="79" customFormat="1" ht="15" customHeight="1">
      <c r="A55" s="64" t="s">
        <v>71</v>
      </c>
      <c r="B55" s="88"/>
      <c r="C55" s="88"/>
      <c r="D55" s="88"/>
      <c r="E55" s="88"/>
      <c r="F55" s="88"/>
      <c r="G55" s="88"/>
      <c r="H55" s="88"/>
      <c r="I55" s="88"/>
      <c r="J55" s="88"/>
      <c r="K55" s="88"/>
      <c r="L55" s="88"/>
      <c r="M55" s="88"/>
      <c r="N55" s="78"/>
      <c r="O55" s="78"/>
    </row>
    <row r="56" spans="1:15" s="28" customFormat="1" ht="15" customHeight="1">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c r="A57" s="67" t="s">
        <v>117</v>
      </c>
      <c r="B57" s="68">
        <v>28823</v>
      </c>
      <c r="C57" s="68">
        <v>30136.1</v>
      </c>
      <c r="D57" s="68">
        <v>31341.3</v>
      </c>
      <c r="E57" s="68">
        <v>32538.1</v>
      </c>
      <c r="F57" s="68">
        <v>33764.5</v>
      </c>
      <c r="G57" s="68">
        <v>35047.1</v>
      </c>
      <c r="H57" s="68">
        <v>36393.699999999997</v>
      </c>
      <c r="I57" s="68">
        <v>37792.1</v>
      </c>
      <c r="J57" s="68">
        <v>39252.400000000001</v>
      </c>
      <c r="K57" s="68">
        <v>40767.9</v>
      </c>
      <c r="L57" s="68">
        <v>42330.400000000001</v>
      </c>
      <c r="M57" s="68">
        <v>43936.5</v>
      </c>
      <c r="N57" s="80"/>
      <c r="O57" s="80"/>
    </row>
    <row r="58" spans="1:15" s="79" customFormat="1" ht="15" customHeight="1">
      <c r="A58" s="64" t="s">
        <v>72</v>
      </c>
      <c r="B58" s="84"/>
      <c r="C58" s="77"/>
      <c r="D58" s="77"/>
      <c r="E58" s="77"/>
      <c r="F58" s="77"/>
      <c r="G58" s="77"/>
      <c r="H58" s="77"/>
      <c r="I58" s="77"/>
      <c r="J58" s="77"/>
      <c r="K58" s="77"/>
      <c r="L58" s="77"/>
      <c r="M58" s="77"/>
      <c r="N58" s="78"/>
      <c r="O58" s="78"/>
    </row>
    <row r="59" spans="1:15" s="28" customFormat="1" ht="15" customHeight="1">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c r="A60" s="67" t="s">
        <v>117</v>
      </c>
      <c r="B60" s="82">
        <v>168.24299999999999</v>
      </c>
      <c r="C60" s="82">
        <v>170.66200000000001</v>
      </c>
      <c r="D60" s="82">
        <v>173.375</v>
      </c>
      <c r="E60" s="82">
        <v>174.006</v>
      </c>
      <c r="F60" s="82">
        <v>174.614</v>
      </c>
      <c r="G60" s="82">
        <v>175.29499999999999</v>
      </c>
      <c r="H60" s="82">
        <v>176.03</v>
      </c>
      <c r="I60" s="82">
        <v>176.80099999999999</v>
      </c>
      <c r="J60" s="82">
        <v>177.55799999999999</v>
      </c>
      <c r="K60" s="82">
        <v>178.17599999999999</v>
      </c>
      <c r="L60" s="82">
        <v>178.79499999999999</v>
      </c>
      <c r="M60" s="82">
        <v>179.386</v>
      </c>
      <c r="N60" s="80"/>
      <c r="O60" s="80"/>
    </row>
    <row r="61" spans="1:15" s="79" customFormat="1" ht="15" customHeight="1">
      <c r="A61" s="64" t="s">
        <v>73</v>
      </c>
      <c r="B61" s="84"/>
      <c r="C61" s="77"/>
      <c r="D61" s="77"/>
      <c r="E61" s="77"/>
      <c r="F61" s="77"/>
      <c r="G61" s="77"/>
      <c r="H61" s="77"/>
      <c r="I61" s="77"/>
      <c r="J61" s="77"/>
      <c r="K61" s="77"/>
      <c r="L61" s="77"/>
      <c r="M61" s="77"/>
      <c r="N61" s="78"/>
      <c r="O61" s="78"/>
    </row>
    <row r="62" spans="1:15" s="28" customFormat="1" ht="15" customHeight="1">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c r="A63" s="67" t="s">
        <v>117</v>
      </c>
      <c r="B63" s="86">
        <v>4.1879999999999997</v>
      </c>
      <c r="C63" s="87">
        <v>4.1929999999999996</v>
      </c>
      <c r="D63" s="87">
        <v>4.0350000000000001</v>
      </c>
      <c r="E63" s="87">
        <v>4.0140000000000002</v>
      </c>
      <c r="F63" s="87">
        <v>3.9940000000000002</v>
      </c>
      <c r="G63" s="87">
        <v>3.9710000000000001</v>
      </c>
      <c r="H63" s="87">
        <v>3.95</v>
      </c>
      <c r="I63" s="87">
        <v>3.9359999999999999</v>
      </c>
      <c r="J63" s="87">
        <v>3.9260000000000002</v>
      </c>
      <c r="K63" s="87">
        <v>3.915</v>
      </c>
      <c r="L63" s="87">
        <v>3.8969999999999998</v>
      </c>
      <c r="M63" s="87">
        <v>3.8719999999999999</v>
      </c>
      <c r="N63" s="80"/>
      <c r="O63" s="175"/>
    </row>
    <row r="64" spans="1:15" s="79" customFormat="1" ht="15" customHeight="1">
      <c r="A64" s="64" t="s">
        <v>81</v>
      </c>
      <c r="B64" s="84"/>
      <c r="C64" s="88"/>
      <c r="D64" s="88"/>
      <c r="E64" s="88"/>
      <c r="F64" s="88"/>
      <c r="G64" s="88"/>
      <c r="H64" s="88"/>
      <c r="I64" s="88"/>
      <c r="J64" s="88"/>
      <c r="K64" s="88"/>
      <c r="L64" s="88"/>
      <c r="M64" s="88"/>
      <c r="N64" s="78"/>
      <c r="O64" s="78"/>
    </row>
    <row r="65" spans="1:15" s="28" customFormat="1" ht="15" customHeight="1">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c r="A66" s="67" t="s">
        <v>117</v>
      </c>
      <c r="B66" s="82">
        <v>2.4129999999999998</v>
      </c>
      <c r="C66" s="82">
        <v>2.198</v>
      </c>
      <c r="D66" s="82">
        <v>2.0750000000000002</v>
      </c>
      <c r="E66" s="82">
        <v>1.9950000000000001</v>
      </c>
      <c r="F66" s="82">
        <v>1.988</v>
      </c>
      <c r="G66" s="82">
        <v>1.992</v>
      </c>
      <c r="H66" s="82">
        <v>1.9870000000000001</v>
      </c>
      <c r="I66" s="82">
        <v>1.986</v>
      </c>
      <c r="J66" s="82">
        <v>1.9870000000000001</v>
      </c>
      <c r="K66" s="82">
        <v>1.9910000000000001</v>
      </c>
      <c r="L66" s="82">
        <v>1.9890000000000001</v>
      </c>
      <c r="M66" s="82">
        <v>1.99</v>
      </c>
      <c r="N66" s="80"/>
      <c r="O66" s="80"/>
    </row>
    <row r="67" spans="1:15" s="79" customFormat="1" ht="15" customHeight="1">
      <c r="A67" s="64" t="s">
        <v>75</v>
      </c>
      <c r="B67" s="84"/>
      <c r="C67" s="88"/>
      <c r="D67" s="88"/>
      <c r="E67" s="88"/>
      <c r="F67" s="88"/>
      <c r="G67" s="88"/>
      <c r="H67" s="88"/>
      <c r="I67" s="88"/>
      <c r="J67" s="88"/>
      <c r="K67" s="88"/>
      <c r="L67" s="88"/>
      <c r="M67" s="88"/>
      <c r="N67" s="78"/>
      <c r="O67" s="78"/>
    </row>
    <row r="68" spans="1:15" s="28" customFormat="1" ht="15" customHeight="1">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c r="A70" s="64" t="s">
        <v>82</v>
      </c>
      <c r="B70" s="84"/>
      <c r="C70" s="88"/>
      <c r="D70" s="88"/>
      <c r="E70" s="88"/>
      <c r="F70" s="88"/>
      <c r="G70" s="88"/>
      <c r="H70" s="88"/>
      <c r="I70" s="88"/>
      <c r="J70" s="88"/>
      <c r="K70" s="88"/>
      <c r="L70" s="88"/>
      <c r="M70" s="88"/>
      <c r="N70" s="78"/>
      <c r="O70" s="78"/>
    </row>
    <row r="71" spans="1:15" s="28" customFormat="1" ht="15" customHeight="1">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c r="A72" s="67" t="s">
        <v>117</v>
      </c>
      <c r="B72" s="82">
        <v>168.291</v>
      </c>
      <c r="C72" s="82">
        <v>174.15600000000001</v>
      </c>
      <c r="D72" s="82">
        <v>180</v>
      </c>
      <c r="E72" s="82">
        <v>185.768</v>
      </c>
      <c r="F72" s="82">
        <v>191.52600000000001</v>
      </c>
      <c r="G72" s="82">
        <v>197.32499999999999</v>
      </c>
      <c r="H72" s="82">
        <v>203.21299999999999</v>
      </c>
      <c r="I72" s="82">
        <v>209.221</v>
      </c>
      <c r="J72" s="82">
        <v>215.381</v>
      </c>
      <c r="K72" s="82">
        <v>221.71600000000001</v>
      </c>
      <c r="L72" s="82">
        <v>228.22499999999999</v>
      </c>
      <c r="M72" s="82">
        <v>234.91</v>
      </c>
      <c r="N72" s="80"/>
      <c r="O72" s="80"/>
    </row>
    <row r="73" spans="1:15" ht="15" customHeight="1">
      <c r="A73" s="41"/>
      <c r="B73" s="41"/>
      <c r="C73" s="145"/>
      <c r="D73" s="145"/>
      <c r="E73" s="145"/>
      <c r="F73" s="145"/>
      <c r="G73" s="145"/>
      <c r="H73" s="145"/>
      <c r="I73" s="145"/>
      <c r="J73" s="145"/>
      <c r="K73" s="145"/>
      <c r="L73" s="145"/>
      <c r="M73" s="145"/>
      <c r="N73" s="146"/>
      <c r="O73" s="146"/>
    </row>
    <row r="74" spans="1:15" ht="15" customHeight="1">
      <c r="A74" s="74"/>
      <c r="B74" s="74"/>
      <c r="C74" s="74"/>
      <c r="D74" s="74"/>
      <c r="E74" s="74"/>
      <c r="F74" s="74"/>
      <c r="G74" s="74"/>
      <c r="H74" s="74"/>
      <c r="I74" s="74"/>
      <c r="J74" s="74"/>
      <c r="K74" s="74"/>
      <c r="L74" s="74"/>
      <c r="M74" s="74"/>
      <c r="N74" s="110"/>
      <c r="O74" s="110"/>
    </row>
    <row r="75" spans="1:15" ht="15" customHeight="1">
      <c r="A75" s="217" t="s">
        <v>32</v>
      </c>
      <c r="B75" s="217"/>
      <c r="C75" s="217"/>
      <c r="D75" s="217"/>
      <c r="E75" s="217"/>
      <c r="F75" s="217"/>
      <c r="G75" s="217"/>
      <c r="H75" s="217"/>
      <c r="I75" s="217"/>
      <c r="J75" s="217"/>
      <c r="K75" s="217"/>
      <c r="L75" s="217"/>
      <c r="M75" s="217"/>
      <c r="N75" s="136"/>
      <c r="O75" s="136"/>
    </row>
    <row r="76" spans="1:15" s="63" customFormat="1" ht="15" customHeight="1">
      <c r="A76" s="170"/>
      <c r="B76" s="170"/>
      <c r="C76" s="170"/>
      <c r="D76" s="170"/>
      <c r="E76" s="170"/>
      <c r="F76" s="170"/>
      <c r="G76" s="170"/>
      <c r="H76" s="170"/>
      <c r="I76" s="170"/>
      <c r="J76" s="170"/>
      <c r="K76" s="170"/>
      <c r="L76" s="170"/>
      <c r="M76" s="170"/>
      <c r="N76" s="95"/>
      <c r="O76" s="95"/>
    </row>
    <row r="77" spans="1:15" s="4" customFormat="1" ht="15" customHeight="1">
      <c r="A77" s="216" t="s">
        <v>24</v>
      </c>
      <c r="B77" s="216"/>
      <c r="C77" s="216"/>
      <c r="D77" s="216"/>
      <c r="E77" s="216"/>
      <c r="F77" s="216"/>
      <c r="G77" s="216"/>
      <c r="H77" s="216"/>
      <c r="I77" s="216"/>
      <c r="J77" s="216"/>
      <c r="K77" s="216"/>
      <c r="L77" s="216"/>
      <c r="M77" s="216"/>
      <c r="N77" s="96"/>
      <c r="O77" s="96"/>
    </row>
    <row r="78" spans="1:15" s="4" customFormat="1" ht="15" customHeight="1">
      <c r="A78" s="93"/>
      <c r="B78" s="54"/>
      <c r="C78" s="54"/>
      <c r="D78" s="54"/>
      <c r="E78" s="54"/>
      <c r="F78" s="54"/>
      <c r="G78" s="54"/>
      <c r="H78" s="54"/>
      <c r="I78" s="54"/>
      <c r="J78" s="54"/>
      <c r="K78" s="54"/>
      <c r="L78" s="54"/>
      <c r="M78" s="54"/>
      <c r="N78" s="94"/>
      <c r="O78" s="94"/>
    </row>
    <row r="79" spans="1:15" s="4" customFormat="1" ht="15" customHeight="1">
      <c r="A79" s="212" t="s">
        <v>25</v>
      </c>
      <c r="B79" s="212"/>
      <c r="C79" s="212"/>
      <c r="D79" s="212"/>
      <c r="E79" s="212"/>
      <c r="F79" s="212"/>
      <c r="G79" s="212"/>
      <c r="H79" s="212"/>
      <c r="I79" s="212"/>
      <c r="J79" s="212"/>
      <c r="K79" s="212"/>
      <c r="L79" s="212"/>
      <c r="M79" s="212"/>
      <c r="N79" s="93"/>
      <c r="O79" s="93"/>
    </row>
    <row r="80" spans="1:15" ht="15" customHeight="1">
      <c r="A80" s="74"/>
      <c r="B80" s="74"/>
      <c r="C80" s="74"/>
      <c r="D80" s="74"/>
      <c r="E80" s="74"/>
      <c r="F80" s="74"/>
      <c r="G80" s="74"/>
      <c r="H80" s="74"/>
      <c r="I80" s="74"/>
      <c r="J80" s="74"/>
      <c r="K80" s="74"/>
      <c r="L80" s="74"/>
      <c r="M80" s="74"/>
      <c r="N80" s="110"/>
      <c r="O80" s="110"/>
    </row>
    <row r="81" spans="1:15" ht="15" customHeight="1">
      <c r="A81" s="212" t="s">
        <v>20</v>
      </c>
      <c r="B81" s="212"/>
      <c r="C81" s="212"/>
      <c r="D81" s="212"/>
      <c r="E81" s="212"/>
      <c r="F81" s="212"/>
      <c r="G81" s="212"/>
      <c r="H81" s="212"/>
      <c r="I81" s="212"/>
      <c r="J81" s="212"/>
      <c r="K81" s="212"/>
      <c r="L81" s="212"/>
      <c r="M81" s="212"/>
      <c r="N81" s="74"/>
      <c r="O81" s="74"/>
    </row>
    <row r="82" spans="1:15" ht="15" customHeight="1">
      <c r="A82" s="74"/>
      <c r="B82" s="74"/>
      <c r="C82" s="74"/>
      <c r="D82" s="74"/>
      <c r="E82" s="74"/>
      <c r="F82" s="74"/>
      <c r="G82" s="74"/>
      <c r="H82" s="74"/>
      <c r="I82" s="74"/>
      <c r="J82" s="74"/>
      <c r="K82" s="74"/>
      <c r="L82" s="74"/>
      <c r="M82" s="74"/>
      <c r="N82" s="110"/>
      <c r="O82" s="110"/>
    </row>
    <row r="83" spans="1:15" s="28" customFormat="1" ht="14.25" customHeight="1">
      <c r="A83" s="211" t="s">
        <v>19</v>
      </c>
      <c r="B83" s="211"/>
      <c r="C83" s="211"/>
      <c r="D83" s="211"/>
      <c r="E83" s="211"/>
      <c r="F83" s="211"/>
      <c r="G83" s="211"/>
      <c r="H83" s="211"/>
      <c r="I83" s="211"/>
      <c r="J83" s="211"/>
      <c r="K83" s="211"/>
      <c r="L83" s="211"/>
      <c r="M83" s="211"/>
      <c r="N83" s="99"/>
      <c r="O83" s="99"/>
    </row>
    <row r="84" spans="1:15" s="4" customFormat="1" ht="15" customHeight="1">
      <c r="A84" s="93"/>
      <c r="B84" s="97"/>
      <c r="C84" s="97"/>
      <c r="D84" s="97"/>
      <c r="E84" s="97"/>
      <c r="F84" s="97"/>
      <c r="G84" s="97"/>
      <c r="H84" s="97"/>
      <c r="I84" s="97"/>
      <c r="J84" s="97"/>
      <c r="K84" s="97"/>
      <c r="L84" s="97"/>
      <c r="M84" s="97"/>
      <c r="N84" s="98"/>
      <c r="O84" s="98"/>
    </row>
    <row r="85" spans="1:15" s="4" customFormat="1" ht="14.25" customHeight="1">
      <c r="A85" s="212" t="s">
        <v>17</v>
      </c>
      <c r="B85" s="212"/>
      <c r="C85" s="212"/>
      <c r="D85" s="212"/>
      <c r="E85" s="212"/>
      <c r="F85" s="212"/>
      <c r="G85" s="212"/>
      <c r="H85" s="212"/>
      <c r="I85" s="212"/>
      <c r="J85" s="212"/>
      <c r="K85" s="212"/>
      <c r="L85" s="212"/>
      <c r="M85" s="212"/>
      <c r="N85" s="96"/>
      <c r="O85" s="96"/>
    </row>
    <row r="86" spans="1:15" s="4" customFormat="1" ht="15" customHeight="1">
      <c r="A86" s="93"/>
      <c r="B86" s="97"/>
      <c r="C86" s="97"/>
      <c r="D86" s="97"/>
      <c r="E86" s="97"/>
      <c r="F86" s="97"/>
      <c r="G86" s="97"/>
      <c r="H86" s="97"/>
      <c r="I86" s="97"/>
      <c r="J86" s="97"/>
      <c r="K86" s="97"/>
      <c r="L86" s="97"/>
      <c r="M86" s="97"/>
      <c r="N86" s="98"/>
      <c r="O86" s="98"/>
    </row>
    <row r="87" spans="1:15" s="4" customFormat="1" ht="15" customHeight="1">
      <c r="A87" s="212" t="s">
        <v>8</v>
      </c>
      <c r="B87" s="212"/>
      <c r="C87" s="212"/>
      <c r="D87" s="212"/>
      <c r="E87" s="212"/>
      <c r="F87" s="212"/>
      <c r="G87" s="212"/>
      <c r="H87" s="212"/>
      <c r="I87" s="212"/>
      <c r="J87" s="212"/>
      <c r="K87" s="212"/>
      <c r="L87" s="212"/>
      <c r="M87" s="212"/>
      <c r="N87" s="98"/>
      <c r="O87" s="98"/>
    </row>
    <row r="88" spans="1:15" s="4" customFormat="1" ht="15" customHeight="1">
      <c r="A88" s="161"/>
      <c r="B88" s="161"/>
      <c r="C88" s="154"/>
      <c r="D88" s="154"/>
      <c r="E88" s="154"/>
      <c r="F88" s="154"/>
      <c r="G88" s="154"/>
      <c r="H88" s="154"/>
      <c r="I88" s="154"/>
      <c r="J88" s="154"/>
      <c r="K88" s="154"/>
      <c r="L88" s="154"/>
      <c r="M88" s="154"/>
      <c r="N88" s="98"/>
      <c r="O88" s="98"/>
    </row>
    <row r="89" spans="1:15" s="4" customFormat="1" ht="15" customHeight="1">
      <c r="A89" s="74"/>
      <c r="B89" s="74"/>
      <c r="C89" s="74"/>
      <c r="D89" s="74"/>
      <c r="E89" s="74"/>
      <c r="F89" s="74"/>
      <c r="G89" s="74"/>
      <c r="H89" s="74"/>
      <c r="I89" s="74"/>
      <c r="J89" s="74"/>
      <c r="K89" s="74"/>
      <c r="L89" s="74"/>
      <c r="M89" s="74"/>
      <c r="N89" s="93"/>
      <c r="O89" s="93"/>
    </row>
    <row r="90" spans="1:15" ht="15" customHeight="1">
      <c r="A90" s="110"/>
      <c r="B90" s="110"/>
      <c r="C90" s="110"/>
      <c r="D90" s="110"/>
      <c r="E90" s="110"/>
      <c r="F90" s="110"/>
      <c r="G90" s="110"/>
      <c r="H90" s="110"/>
      <c r="I90" s="110"/>
      <c r="J90" s="110"/>
      <c r="K90" s="110"/>
      <c r="L90" s="110"/>
      <c r="M90" s="110"/>
      <c r="N90" s="122"/>
      <c r="O90" s="122"/>
    </row>
    <row r="91" spans="1:15" ht="15" customHeight="1">
      <c r="N91" s="110"/>
      <c r="O91" s="110"/>
    </row>
    <row r="92" spans="1:15" ht="15" customHeight="1">
      <c r="N92" s="110"/>
      <c r="O92" s="110"/>
    </row>
  </sheetData>
  <sheetProtection sheet="1" objects="1" scenarios="1"/>
  <mergeCells count="11">
    <mergeCell ref="A81:M81"/>
    <mergeCell ref="A83:M83"/>
    <mergeCell ref="A87:M87"/>
    <mergeCell ref="A85:M85"/>
    <mergeCell ref="A79:M79"/>
    <mergeCell ref="A5:O5"/>
    <mergeCell ref="C8:L8"/>
    <mergeCell ref="N8:O8"/>
    <mergeCell ref="A75:M75"/>
    <mergeCell ref="A77:M77"/>
    <mergeCell ref="B43:M43"/>
  </mergeCells>
  <hyperlinks>
    <hyperlink ref="A2" r:id="rId1" display="https://www.cbo.gov/publication/61198" xr:uid="{B575940D-C927-4DF5-B489-FBCC3D32390F}"/>
  </hyperlinks>
  <pageMargins left="0.75" right="0.75" top="1" bottom="1" header="0.5" footer="0.5"/>
  <pageSetup scale="75"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91"/>
  <sheetViews>
    <sheetView zoomScaleNormal="100" workbookViewId="0"/>
  </sheetViews>
  <sheetFormatPr baseColWidth="10" defaultColWidth="12.5" defaultRowHeight="15" customHeight="1"/>
  <cols>
    <col min="1" max="1" width="54.5" style="73" customWidth="1"/>
    <col min="2" max="14" width="7.5" style="73" customWidth="1"/>
    <col min="15" max="15" width="7.83203125" style="73" customWidth="1"/>
    <col min="16" max="16384" width="12.5" style="73"/>
  </cols>
  <sheetData>
    <row r="1" spans="1:15" s="4" customFormat="1" ht="15" customHeight="1">
      <c r="A1" s="2" t="s">
        <v>101</v>
      </c>
      <c r="B1" s="3"/>
      <c r="C1" s="3"/>
      <c r="D1" s="3"/>
      <c r="E1" s="3"/>
      <c r="F1" s="3"/>
      <c r="G1" s="3"/>
      <c r="H1" s="3"/>
      <c r="I1" s="3"/>
      <c r="J1" s="3"/>
      <c r="K1" s="3"/>
      <c r="L1" s="3"/>
      <c r="M1" s="3"/>
      <c r="N1" s="3"/>
      <c r="O1" s="3"/>
    </row>
    <row r="2" spans="1:15" s="4" customFormat="1" ht="15" customHeight="1">
      <c r="A2" s="210" t="s">
        <v>119</v>
      </c>
      <c r="B2" s="3"/>
      <c r="C2" s="3"/>
      <c r="D2" s="3"/>
      <c r="E2" s="3"/>
      <c r="F2" s="3"/>
      <c r="G2" s="3"/>
      <c r="H2" s="3"/>
      <c r="I2" s="3"/>
      <c r="J2" s="3"/>
      <c r="K2" s="3"/>
      <c r="L2" s="3"/>
      <c r="M2" s="3"/>
      <c r="N2" s="3"/>
      <c r="O2" s="3"/>
    </row>
    <row r="3" spans="1:15" s="4" customFormat="1" ht="15" customHeight="1">
      <c r="A3" s="165"/>
      <c r="B3" s="3"/>
      <c r="C3" s="3"/>
      <c r="D3" s="3"/>
      <c r="E3" s="3"/>
      <c r="F3" s="3"/>
      <c r="G3" s="3"/>
      <c r="H3" s="3"/>
      <c r="I3" s="3"/>
      <c r="J3" s="3"/>
      <c r="K3" s="3"/>
      <c r="L3" s="3"/>
      <c r="M3" s="3"/>
      <c r="N3" s="3"/>
      <c r="O3" s="3"/>
    </row>
    <row r="4" spans="1:15" ht="15" customHeight="1">
      <c r="A4" s="122"/>
      <c r="B4" s="110"/>
      <c r="C4" s="110"/>
      <c r="D4" s="110"/>
      <c r="E4" s="110"/>
      <c r="F4" s="110"/>
      <c r="G4" s="110"/>
      <c r="H4" s="110"/>
      <c r="I4" s="110"/>
      <c r="J4" s="110"/>
      <c r="K4" s="110"/>
      <c r="L4" s="110"/>
      <c r="M4" s="110"/>
      <c r="N4" s="110"/>
      <c r="O4" s="110"/>
    </row>
    <row r="5" spans="1:15" ht="30" customHeight="1">
      <c r="A5" s="225" t="s">
        <v>96</v>
      </c>
      <c r="B5" s="225"/>
      <c r="C5" s="225"/>
      <c r="D5" s="225"/>
      <c r="E5" s="225"/>
      <c r="F5" s="225"/>
      <c r="G5" s="225"/>
      <c r="H5" s="225"/>
      <c r="I5" s="225"/>
      <c r="J5" s="225"/>
      <c r="K5" s="225"/>
      <c r="L5" s="225"/>
      <c r="M5" s="225"/>
      <c r="N5" s="225"/>
      <c r="O5" s="225"/>
    </row>
    <row r="6" spans="1:15" ht="15" customHeight="1">
      <c r="A6" s="121" t="s">
        <v>83</v>
      </c>
      <c r="B6" s="121"/>
      <c r="C6" s="121"/>
      <c r="D6" s="121"/>
      <c r="E6" s="121"/>
      <c r="F6" s="121"/>
      <c r="G6" s="121"/>
      <c r="H6" s="121"/>
      <c r="I6" s="121"/>
      <c r="J6" s="121"/>
      <c r="K6" s="121"/>
      <c r="L6" s="121"/>
      <c r="M6" s="121"/>
      <c r="N6" s="122"/>
      <c r="O6" s="122"/>
    </row>
    <row r="7" spans="1:15" ht="15" customHeight="1">
      <c r="A7" s="122"/>
      <c r="B7" s="122"/>
      <c r="C7" s="122"/>
      <c r="D7" s="122"/>
      <c r="E7" s="122"/>
      <c r="F7" s="122"/>
      <c r="G7" s="122"/>
      <c r="H7" s="122"/>
      <c r="I7" s="122"/>
      <c r="J7" s="122"/>
      <c r="K7" s="122"/>
      <c r="L7" s="122"/>
      <c r="M7" s="122"/>
      <c r="N7" s="123"/>
      <c r="O7" s="123"/>
    </row>
    <row r="8" spans="1:15" s="13" customFormat="1" ht="15" customHeight="1">
      <c r="A8" s="9"/>
      <c r="B8" s="47"/>
      <c r="C8" s="220"/>
      <c r="D8" s="220"/>
      <c r="E8" s="220"/>
      <c r="F8" s="220"/>
      <c r="G8" s="220"/>
      <c r="H8" s="220"/>
      <c r="I8" s="220"/>
      <c r="J8" s="220"/>
      <c r="K8" s="220"/>
      <c r="L8" s="220"/>
      <c r="M8" s="171"/>
      <c r="N8" s="218" t="s">
        <v>15</v>
      </c>
      <c r="O8" s="218"/>
    </row>
    <row r="9" spans="1:15" s="13" customFormat="1" ht="15" customHeight="1">
      <c r="A9" s="9"/>
      <c r="B9" s="47"/>
      <c r="C9" s="47"/>
      <c r="D9" s="47"/>
      <c r="E9" s="47"/>
      <c r="F9" s="47"/>
      <c r="G9" s="47"/>
      <c r="H9" s="47"/>
      <c r="I9" s="47"/>
      <c r="J9" s="47"/>
      <c r="K9" s="47"/>
      <c r="L9" s="47"/>
      <c r="M9" s="47"/>
      <c r="N9" s="48" t="s">
        <v>91</v>
      </c>
      <c r="O9" s="48" t="s">
        <v>91</v>
      </c>
    </row>
    <row r="10" spans="1:15" s="13" customFormat="1" ht="15" customHeight="1">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c r="A11" s="124" t="s">
        <v>59</v>
      </c>
      <c r="B11" s="125" t="s">
        <v>3</v>
      </c>
      <c r="C11" s="189">
        <v>1.5589999999999999</v>
      </c>
      <c r="D11" s="189">
        <v>7.2610000000000001</v>
      </c>
      <c r="E11" s="189">
        <v>13.503</v>
      </c>
      <c r="F11" s="189">
        <v>19.902000000000001</v>
      </c>
      <c r="G11" s="189">
        <v>26.690999999999999</v>
      </c>
      <c r="H11" s="189">
        <v>33.924999999999997</v>
      </c>
      <c r="I11" s="189">
        <v>41.555999999999997</v>
      </c>
      <c r="J11" s="189">
        <v>49.813000000000002</v>
      </c>
      <c r="K11" s="189">
        <v>58.186999999999998</v>
      </c>
      <c r="L11" s="189">
        <v>67.450999999999993</v>
      </c>
      <c r="M11" s="189">
        <v>77.183000000000007</v>
      </c>
      <c r="N11" s="189">
        <v>101.282</v>
      </c>
      <c r="O11" s="189">
        <v>395.47199999999998</v>
      </c>
    </row>
    <row r="12" spans="1:15" ht="15" customHeight="1">
      <c r="A12" s="155"/>
      <c r="B12" s="125"/>
      <c r="C12" s="126"/>
      <c r="D12" s="126"/>
      <c r="E12" s="126"/>
      <c r="F12" s="126"/>
      <c r="G12" s="126"/>
      <c r="H12" s="126"/>
      <c r="I12" s="126"/>
      <c r="J12" s="126"/>
      <c r="K12" s="126"/>
      <c r="L12" s="126"/>
      <c r="M12" s="126"/>
      <c r="N12" s="127"/>
      <c r="O12" s="127"/>
    </row>
    <row r="13" spans="1:15" ht="15" customHeight="1">
      <c r="A13" s="124" t="s">
        <v>61</v>
      </c>
      <c r="B13" s="125"/>
      <c r="C13" s="126"/>
      <c r="D13" s="126"/>
      <c r="E13" s="126"/>
      <c r="F13" s="126"/>
      <c r="G13" s="126"/>
      <c r="H13" s="126"/>
      <c r="I13" s="126"/>
      <c r="J13" s="126"/>
      <c r="K13" s="126"/>
      <c r="L13" s="126"/>
      <c r="M13" s="126"/>
      <c r="N13" s="127"/>
      <c r="O13" s="127"/>
    </row>
    <row r="14" spans="1:15" ht="15" customHeight="1">
      <c r="A14" s="156" t="s">
        <v>0</v>
      </c>
      <c r="B14" s="125" t="s">
        <v>3</v>
      </c>
      <c r="C14" s="190">
        <v>0.40300000000000002</v>
      </c>
      <c r="D14" s="190">
        <v>3.2959999999999998</v>
      </c>
      <c r="E14" s="190">
        <v>7.1260000000000003</v>
      </c>
      <c r="F14" s="190">
        <v>11.473000000000001</v>
      </c>
      <c r="G14" s="190">
        <v>16.015999999999998</v>
      </c>
      <c r="H14" s="190">
        <v>21.023</v>
      </c>
      <c r="I14" s="190">
        <v>26.271999999999998</v>
      </c>
      <c r="J14" s="190">
        <v>32.243000000000002</v>
      </c>
      <c r="K14" s="190">
        <v>39.042999999999999</v>
      </c>
      <c r="L14" s="190">
        <v>45.332999999999998</v>
      </c>
      <c r="M14" s="190">
        <v>51.832000000000001</v>
      </c>
      <c r="N14" s="189">
        <v>58.933999999999997</v>
      </c>
      <c r="O14" s="189">
        <v>253.65699999999998</v>
      </c>
    </row>
    <row r="15" spans="1:15" ht="15" customHeight="1">
      <c r="A15" s="156" t="s">
        <v>30</v>
      </c>
      <c r="B15" s="125" t="s">
        <v>3</v>
      </c>
      <c r="C15" s="189">
        <v>0</v>
      </c>
      <c r="D15" s="189">
        <v>1.0880000000000001</v>
      </c>
      <c r="E15" s="189">
        <v>2.665</v>
      </c>
      <c r="F15" s="189">
        <v>4.4640000000000004</v>
      </c>
      <c r="G15" s="189">
        <v>6.4210000000000003</v>
      </c>
      <c r="H15" s="189">
        <v>8.5449999999999999</v>
      </c>
      <c r="I15" s="189">
        <v>10.747999999999999</v>
      </c>
      <c r="J15" s="189">
        <v>13.045999999999999</v>
      </c>
      <c r="K15" s="189">
        <v>15.442</v>
      </c>
      <c r="L15" s="189">
        <v>17.940000000000001</v>
      </c>
      <c r="M15" s="189">
        <v>20.545000000000002</v>
      </c>
      <c r="N15" s="189">
        <v>23.183</v>
      </c>
      <c r="O15" s="189">
        <v>100.904</v>
      </c>
    </row>
    <row r="16" spans="1:15" ht="15" customHeight="1">
      <c r="A16" s="53" t="s">
        <v>49</v>
      </c>
      <c r="B16" s="125"/>
      <c r="C16" s="126"/>
      <c r="D16" s="126"/>
      <c r="E16" s="126"/>
      <c r="F16" s="126"/>
      <c r="G16" s="126"/>
      <c r="H16" s="126"/>
      <c r="I16" s="126"/>
      <c r="J16" s="126"/>
      <c r="K16" s="126"/>
      <c r="L16" s="126"/>
      <c r="M16" s="126"/>
      <c r="N16" s="127"/>
      <c r="O16" s="127"/>
    </row>
    <row r="17" spans="1:15" ht="15" customHeight="1">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c r="A18" s="157" t="s">
        <v>41</v>
      </c>
      <c r="B18" s="125" t="s">
        <v>3</v>
      </c>
      <c r="C18" s="189">
        <v>2.0590000000000002</v>
      </c>
      <c r="D18" s="189">
        <v>1.8009999999999999</v>
      </c>
      <c r="E18" s="189">
        <v>1.736</v>
      </c>
      <c r="F18" s="189">
        <v>1.603</v>
      </c>
      <c r="G18" s="189">
        <v>1.466</v>
      </c>
      <c r="H18" s="189">
        <v>1.4</v>
      </c>
      <c r="I18" s="189">
        <v>1.4119999999999999</v>
      </c>
      <c r="J18" s="189">
        <v>1.421</v>
      </c>
      <c r="K18" s="189">
        <v>1.4350000000000001</v>
      </c>
      <c r="L18" s="189">
        <v>1.446</v>
      </c>
      <c r="M18" s="189">
        <v>1.52</v>
      </c>
      <c r="N18" s="189">
        <v>8.0060000000000002</v>
      </c>
      <c r="O18" s="189">
        <v>15.239999999999998</v>
      </c>
    </row>
    <row r="19" spans="1:15" ht="15" customHeight="1">
      <c r="A19" s="157" t="s">
        <v>7</v>
      </c>
      <c r="B19" s="125" t="s">
        <v>3</v>
      </c>
      <c r="C19" s="190">
        <v>6.6000000000000003E-2</v>
      </c>
      <c r="D19" s="190">
        <v>0.45900000000000002</v>
      </c>
      <c r="E19" s="190">
        <v>0.96799999999999997</v>
      </c>
      <c r="F19" s="190">
        <v>1.6319999999999999</v>
      </c>
      <c r="G19" s="190">
        <v>2.44</v>
      </c>
      <c r="H19" s="190">
        <v>3.403</v>
      </c>
      <c r="I19" s="190">
        <v>4.5010000000000003</v>
      </c>
      <c r="J19" s="190">
        <v>5.7530000000000001</v>
      </c>
      <c r="K19" s="190">
        <v>7.1669999999999998</v>
      </c>
      <c r="L19" s="190">
        <v>8.7370000000000001</v>
      </c>
      <c r="M19" s="190">
        <v>10.456</v>
      </c>
      <c r="N19" s="189">
        <v>8.902000000000001</v>
      </c>
      <c r="O19" s="189">
        <v>45.516000000000005</v>
      </c>
    </row>
    <row r="20" spans="1:15" ht="3" customHeight="1">
      <c r="A20" s="155"/>
      <c r="B20" s="126" t="s">
        <v>1</v>
      </c>
      <c r="C20" s="126" t="s">
        <v>1</v>
      </c>
      <c r="D20" s="126" t="s">
        <v>1</v>
      </c>
      <c r="E20" s="126" t="s">
        <v>1</v>
      </c>
      <c r="F20" s="126" t="s">
        <v>1</v>
      </c>
      <c r="G20" s="126" t="s">
        <v>1</v>
      </c>
      <c r="H20" s="126" t="s">
        <v>1</v>
      </c>
      <c r="I20" s="126" t="s">
        <v>1</v>
      </c>
      <c r="J20" s="126" t="s">
        <v>1</v>
      </c>
      <c r="K20" s="126" t="s">
        <v>1</v>
      </c>
      <c r="L20" s="126" t="s">
        <v>1</v>
      </c>
      <c r="M20" s="126" t="s">
        <v>1</v>
      </c>
      <c r="N20" s="126" t="s">
        <v>1</v>
      </c>
      <c r="O20" s="126" t="s">
        <v>1</v>
      </c>
    </row>
    <row r="21" spans="1:15" ht="15" customHeight="1">
      <c r="A21" s="158" t="s">
        <v>50</v>
      </c>
      <c r="B21" s="125" t="s">
        <v>3</v>
      </c>
      <c r="C21" s="190">
        <v>7.3440000000000003</v>
      </c>
      <c r="D21" s="190">
        <v>15.002000000000001</v>
      </c>
      <c r="E21" s="190">
        <v>20.150000000000002</v>
      </c>
      <c r="F21" s="190">
        <v>24.936000000000003</v>
      </c>
      <c r="G21" s="190">
        <v>29.548000000000002</v>
      </c>
      <c r="H21" s="190">
        <v>34.278999999999996</v>
      </c>
      <c r="I21" s="190">
        <v>38.754999999999995</v>
      </c>
      <c r="J21" s="190">
        <v>43.491</v>
      </c>
      <c r="K21" s="190">
        <v>47.979000000000006</v>
      </c>
      <c r="L21" s="190">
        <v>52.77</v>
      </c>
      <c r="M21" s="190">
        <v>57.50200000000001</v>
      </c>
      <c r="N21" s="189">
        <v>123.91500000000001</v>
      </c>
      <c r="O21" s="141">
        <v>364.41200000000003</v>
      </c>
    </row>
    <row r="22" spans="1:15" ht="15" customHeight="1">
      <c r="A22" s="155"/>
      <c r="B22" s="125"/>
      <c r="C22" s="126"/>
      <c r="D22" s="126"/>
      <c r="E22" s="126"/>
      <c r="F22" s="126"/>
      <c r="G22" s="126"/>
      <c r="H22" s="126"/>
      <c r="I22" s="126"/>
      <c r="J22" s="126"/>
      <c r="K22" s="126"/>
      <c r="L22" s="126"/>
      <c r="M22" s="126"/>
      <c r="N22" s="126"/>
      <c r="O22" s="126"/>
    </row>
    <row r="23" spans="1:15" ht="15" customHeight="1">
      <c r="A23" s="130" t="s">
        <v>62</v>
      </c>
      <c r="B23" s="125" t="s">
        <v>3</v>
      </c>
      <c r="C23" s="189">
        <v>7.7469999999999999</v>
      </c>
      <c r="D23" s="189">
        <v>19.385999999999999</v>
      </c>
      <c r="E23" s="189">
        <v>29.941000000000003</v>
      </c>
      <c r="F23" s="189">
        <v>40.873000000000005</v>
      </c>
      <c r="G23" s="189">
        <v>51.984999999999992</v>
      </c>
      <c r="H23" s="189">
        <v>63.846999999999994</v>
      </c>
      <c r="I23" s="189">
        <v>75.775000000000006</v>
      </c>
      <c r="J23" s="189">
        <v>88.78</v>
      </c>
      <c r="K23" s="189">
        <v>102.464</v>
      </c>
      <c r="L23" s="189">
        <v>116.04299999999999</v>
      </c>
      <c r="M23" s="189">
        <v>129.87900000000002</v>
      </c>
      <c r="N23" s="189">
        <v>206.03199999999998</v>
      </c>
      <c r="O23" s="189">
        <v>718.97299999999996</v>
      </c>
    </row>
    <row r="24" spans="1:15" ht="15" customHeight="1">
      <c r="A24" s="124"/>
      <c r="B24" s="125"/>
      <c r="C24" s="126"/>
      <c r="D24" s="126"/>
      <c r="E24" s="126"/>
      <c r="F24" s="126"/>
      <c r="G24" s="126"/>
      <c r="H24" s="126"/>
      <c r="I24" s="126"/>
      <c r="J24" s="126"/>
      <c r="K24" s="126"/>
      <c r="L24" s="126"/>
      <c r="M24" s="126"/>
      <c r="N24" s="126"/>
      <c r="O24" s="126"/>
    </row>
    <row r="25" spans="1:15" ht="30" customHeight="1">
      <c r="A25" s="59" t="s">
        <v>104</v>
      </c>
      <c r="B25" s="131" t="s">
        <v>3</v>
      </c>
      <c r="C25" s="191">
        <v>-6.1879999999999997</v>
      </c>
      <c r="D25" s="191">
        <v>-12.125</v>
      </c>
      <c r="E25" s="191">
        <v>-16.438000000000002</v>
      </c>
      <c r="F25" s="191">
        <v>-20.971000000000004</v>
      </c>
      <c r="G25" s="191">
        <v>-25.293999999999993</v>
      </c>
      <c r="H25" s="191">
        <v>-29.921999999999997</v>
      </c>
      <c r="I25" s="191">
        <v>-34.219000000000008</v>
      </c>
      <c r="J25" s="191">
        <v>-38.966999999999999</v>
      </c>
      <c r="K25" s="191">
        <v>-44.277000000000001</v>
      </c>
      <c r="L25" s="191">
        <v>-48.591999999999999</v>
      </c>
      <c r="M25" s="191">
        <v>-52.696000000000012</v>
      </c>
      <c r="N25" s="191">
        <v>-104.75</v>
      </c>
      <c r="O25" s="191">
        <v>-323.50099999999998</v>
      </c>
    </row>
    <row r="26" spans="1:15" ht="15" customHeight="1">
      <c r="A26" s="159"/>
      <c r="B26" s="159"/>
      <c r="C26" s="149"/>
      <c r="D26" s="149"/>
      <c r="E26" s="149"/>
      <c r="F26" s="149"/>
      <c r="G26" s="149"/>
      <c r="H26" s="149"/>
      <c r="I26" s="149"/>
      <c r="J26" s="149"/>
      <c r="K26" s="149"/>
      <c r="L26" s="149"/>
      <c r="M26" s="149"/>
      <c r="N26" s="149"/>
      <c r="O26" s="150"/>
    </row>
    <row r="27" spans="1:15" s="163" customFormat="1" ht="15" customHeight="1">
      <c r="A27" s="64" t="s">
        <v>64</v>
      </c>
      <c r="B27" s="64"/>
      <c r="C27" s="162"/>
      <c r="D27" s="162"/>
      <c r="E27" s="162"/>
      <c r="F27" s="162"/>
      <c r="G27" s="162"/>
      <c r="H27" s="162"/>
      <c r="I27" s="162"/>
      <c r="J27" s="162"/>
      <c r="K27" s="162"/>
      <c r="L27" s="162"/>
      <c r="M27" s="162"/>
      <c r="N27" s="162"/>
      <c r="O27" s="162"/>
    </row>
    <row r="28" spans="1:15" ht="15" customHeight="1">
      <c r="A28" s="37" t="s">
        <v>92</v>
      </c>
      <c r="B28" s="203">
        <v>-1832.3809999999994</v>
      </c>
      <c r="C28" s="203">
        <v>-1865.2510000000002</v>
      </c>
      <c r="D28" s="203">
        <v>-1713.2579999999998</v>
      </c>
      <c r="E28" s="203">
        <v>-1686.942</v>
      </c>
      <c r="F28" s="203">
        <v>-1910.7760000000007</v>
      </c>
      <c r="G28" s="203">
        <v>-1938.2679999999991</v>
      </c>
      <c r="H28" s="203">
        <v>-2139.7210000000014</v>
      </c>
      <c r="I28" s="203">
        <v>-2232.7859999999991</v>
      </c>
      <c r="J28" s="203">
        <v>-2370.5820000000003</v>
      </c>
      <c r="K28" s="203">
        <v>-2637.2989999999982</v>
      </c>
      <c r="L28" s="203">
        <v>-2597.2499999999991</v>
      </c>
      <c r="M28" s="203">
        <v>-2531.3779999999988</v>
      </c>
      <c r="N28" s="203">
        <v>-9388.9650000000001</v>
      </c>
      <c r="O28" s="203">
        <v>-21758.259999999995</v>
      </c>
    </row>
    <row r="29" spans="1:15" ht="15" customHeight="1">
      <c r="A29" s="176" t="s">
        <v>117</v>
      </c>
      <c r="B29" s="141">
        <v>-1832.3809999999994</v>
      </c>
      <c r="C29" s="151">
        <v>-1871.4390000000003</v>
      </c>
      <c r="D29" s="151">
        <v>-1725.3829999999998</v>
      </c>
      <c r="E29" s="151">
        <v>-1703.38</v>
      </c>
      <c r="F29" s="151">
        <v>-1931.7470000000008</v>
      </c>
      <c r="G29" s="151">
        <v>-1963.5619999999992</v>
      </c>
      <c r="H29" s="151">
        <v>-2169.6430000000014</v>
      </c>
      <c r="I29" s="151">
        <v>-2267.0049999999992</v>
      </c>
      <c r="J29" s="151">
        <v>-2409.5490000000004</v>
      </c>
      <c r="K29" s="151">
        <v>-2681.5759999999982</v>
      </c>
      <c r="L29" s="151">
        <v>-2645.8419999999992</v>
      </c>
      <c r="M29" s="151">
        <v>-2584.0739999999987</v>
      </c>
      <c r="N29" s="151">
        <v>-9493.7150000000001</v>
      </c>
      <c r="O29" s="151">
        <v>-22081.760999999999</v>
      </c>
    </row>
    <row r="30" spans="1:15" s="63" customFormat="1" ht="15" customHeight="1">
      <c r="A30" s="61"/>
      <c r="B30" s="62"/>
      <c r="C30" s="62"/>
      <c r="D30" s="62"/>
      <c r="E30" s="62"/>
      <c r="F30" s="62"/>
      <c r="G30" s="62"/>
      <c r="H30" s="62"/>
      <c r="I30" s="62"/>
      <c r="J30" s="62"/>
      <c r="K30" s="62"/>
      <c r="L30" s="62"/>
      <c r="M30" s="62"/>
      <c r="N30" s="62"/>
      <c r="O30" s="62"/>
    </row>
    <row r="31" spans="1:15" s="63" customFormat="1" ht="15" customHeight="1">
      <c r="A31" s="64" t="s">
        <v>65</v>
      </c>
      <c r="B31" s="62"/>
      <c r="C31" s="65"/>
      <c r="D31" s="65"/>
      <c r="E31" s="65"/>
      <c r="F31" s="65"/>
      <c r="G31" s="65"/>
      <c r="H31" s="65"/>
      <c r="I31" s="65"/>
      <c r="J31" s="65"/>
      <c r="K31" s="65"/>
      <c r="L31" s="65"/>
      <c r="M31" s="65"/>
      <c r="N31" s="62"/>
      <c r="O31" s="62"/>
    </row>
    <row r="32" spans="1:15" s="63" customFormat="1" ht="15" customHeight="1">
      <c r="A32" s="37" t="s">
        <v>92</v>
      </c>
      <c r="B32" s="203">
        <v>28199.312999999998</v>
      </c>
      <c r="C32" s="203">
        <v>30102.749</v>
      </c>
      <c r="D32" s="203">
        <v>31882.633000000002</v>
      </c>
      <c r="E32" s="203">
        <v>33636.105000000003</v>
      </c>
      <c r="F32" s="203">
        <v>35600.639999999999</v>
      </c>
      <c r="G32" s="203">
        <v>37580.5</v>
      </c>
      <c r="H32" s="203">
        <v>39747.650999999998</v>
      </c>
      <c r="I32" s="203">
        <v>41992.385000000002</v>
      </c>
      <c r="J32" s="203">
        <v>44371.754999999997</v>
      </c>
      <c r="K32" s="203">
        <v>46985.029000000002</v>
      </c>
      <c r="L32" s="203">
        <v>49555.504000000001</v>
      </c>
      <c r="M32" s="203">
        <v>52055.866000000002</v>
      </c>
      <c r="N32" s="204" t="s">
        <v>3</v>
      </c>
      <c r="O32" s="204" t="s">
        <v>3</v>
      </c>
    </row>
    <row r="33" spans="1:15" s="63" customFormat="1" ht="15" customHeight="1">
      <c r="A33" s="67" t="s">
        <v>117</v>
      </c>
      <c r="B33" s="141">
        <v>28199.312999999998</v>
      </c>
      <c r="C33" s="69">
        <v>30108.936999999998</v>
      </c>
      <c r="D33" s="69">
        <v>31900.946</v>
      </c>
      <c r="E33" s="69">
        <v>33670.856</v>
      </c>
      <c r="F33" s="69">
        <v>35656.362000000001</v>
      </c>
      <c r="G33" s="69">
        <v>37661.516000000003</v>
      </c>
      <c r="H33" s="69">
        <v>39858.589</v>
      </c>
      <c r="I33" s="69">
        <v>42137.542000000001</v>
      </c>
      <c r="J33" s="69">
        <v>44555.879000000001</v>
      </c>
      <c r="K33" s="69">
        <v>47213.43</v>
      </c>
      <c r="L33" s="69">
        <v>49832.497000000003</v>
      </c>
      <c r="M33" s="69">
        <v>52385.555</v>
      </c>
      <c r="N33" s="51" t="s">
        <v>3</v>
      </c>
      <c r="O33" s="51" t="s">
        <v>3</v>
      </c>
    </row>
    <row r="34" spans="1:15" s="63" customFormat="1" ht="15" customHeight="1">
      <c r="A34" s="61"/>
      <c r="B34" s="62"/>
      <c r="C34" s="62"/>
      <c r="D34" s="62"/>
      <c r="E34" s="62"/>
      <c r="F34" s="62"/>
      <c r="G34" s="62"/>
      <c r="H34" s="62"/>
      <c r="I34" s="62"/>
      <c r="J34" s="62"/>
      <c r="K34" s="62"/>
      <c r="L34" s="62"/>
      <c r="M34" s="62"/>
      <c r="N34" s="62"/>
      <c r="O34" s="62"/>
    </row>
    <row r="35" spans="1:15" s="63" customFormat="1" ht="15" customHeight="1">
      <c r="A35" s="64" t="s">
        <v>66</v>
      </c>
      <c r="B35" s="62"/>
      <c r="C35" s="65"/>
      <c r="D35" s="65"/>
      <c r="E35" s="65"/>
      <c r="F35" s="65"/>
      <c r="G35" s="65"/>
      <c r="H35" s="65"/>
      <c r="I35" s="65"/>
      <c r="J35" s="65"/>
      <c r="K35" s="65"/>
      <c r="L35" s="65"/>
      <c r="M35" s="65"/>
      <c r="N35" s="62"/>
      <c r="O35" s="62"/>
    </row>
    <row r="36" spans="1:15" s="63" customFormat="1" ht="15" customHeight="1">
      <c r="A36" s="37" t="s">
        <v>92</v>
      </c>
      <c r="B36" s="205">
        <v>-6.356215750736907</v>
      </c>
      <c r="C36" s="205">
        <v>-6.189414737684598</v>
      </c>
      <c r="D36" s="205">
        <v>-5.4664504452188911</v>
      </c>
      <c r="E36" s="205">
        <v>-5.1845180236269712</v>
      </c>
      <c r="F36" s="205">
        <v>-5.6591229996571863</v>
      </c>
      <c r="G36" s="205">
        <v>-5.5304585696958828</v>
      </c>
      <c r="H36" s="205">
        <v>-5.8793651941589333</v>
      </c>
      <c r="I36" s="205">
        <v>-5.9080768081261414</v>
      </c>
      <c r="J36" s="205">
        <v>-6.0393242325483074</v>
      </c>
      <c r="K36" s="205">
        <v>-6.4690633173947134</v>
      </c>
      <c r="L36" s="205">
        <v>-6.1356562955235381</v>
      </c>
      <c r="M36" s="205">
        <v>-5.7614482067842996</v>
      </c>
      <c r="N36" s="205">
        <v>-5.5528140647621047</v>
      </c>
      <c r="O36" s="205">
        <v>-5.8307480031125909</v>
      </c>
    </row>
    <row r="37" spans="1:15" s="63" customFormat="1" ht="15" customHeight="1">
      <c r="A37" s="67" t="s">
        <v>117</v>
      </c>
      <c r="B37" s="140">
        <v>-6.356215750736907</v>
      </c>
      <c r="C37" s="173">
        <v>-6.2050000000000001</v>
      </c>
      <c r="D37" s="173">
        <v>-5.4960000000000004</v>
      </c>
      <c r="E37" s="173">
        <v>-5.2210000000000001</v>
      </c>
      <c r="F37" s="173">
        <v>-5.7</v>
      </c>
      <c r="G37" s="173">
        <v>-5.577</v>
      </c>
      <c r="H37" s="173">
        <v>-5.9279999999999999</v>
      </c>
      <c r="I37" s="173">
        <v>-5.9589999999999996</v>
      </c>
      <c r="J37" s="173">
        <v>-6.0919999999999996</v>
      </c>
      <c r="K37" s="173">
        <v>-6.5209999999999999</v>
      </c>
      <c r="L37" s="173">
        <v>-6.1909999999999998</v>
      </c>
      <c r="M37" s="173">
        <v>-5.82</v>
      </c>
      <c r="N37" s="173">
        <v>-5.5940000000000003</v>
      </c>
      <c r="O37" s="173">
        <v>-5.8789999999999996</v>
      </c>
    </row>
    <row r="38" spans="1:15" s="63" customFormat="1" ht="15" customHeight="1">
      <c r="A38" s="61"/>
      <c r="B38" s="62"/>
      <c r="C38" s="62"/>
      <c r="D38" s="62"/>
      <c r="E38" s="62"/>
      <c r="F38" s="62"/>
      <c r="G38" s="62"/>
      <c r="H38" s="62"/>
      <c r="I38" s="62"/>
      <c r="J38" s="62"/>
      <c r="K38" s="62"/>
      <c r="L38" s="62"/>
      <c r="M38" s="62"/>
      <c r="N38" s="62"/>
      <c r="O38" s="62"/>
    </row>
    <row r="39" spans="1:15" s="63" customFormat="1" ht="15" customHeight="1">
      <c r="A39" s="64" t="s">
        <v>67</v>
      </c>
      <c r="B39" s="62"/>
      <c r="C39" s="65"/>
      <c r="D39" s="65"/>
      <c r="E39" s="65"/>
      <c r="F39" s="65"/>
      <c r="G39" s="65"/>
      <c r="H39" s="65"/>
      <c r="I39" s="65"/>
      <c r="J39" s="65"/>
      <c r="K39" s="65"/>
      <c r="L39" s="65"/>
      <c r="M39" s="65"/>
      <c r="N39" s="62"/>
      <c r="O39" s="62"/>
    </row>
    <row r="40" spans="1:15" s="63" customFormat="1" ht="15" customHeight="1">
      <c r="A40" s="37" t="s">
        <v>92</v>
      </c>
      <c r="B40" s="205">
        <v>97.818585463700003</v>
      </c>
      <c r="C40" s="205">
        <v>99.889182906440084</v>
      </c>
      <c r="D40" s="205">
        <v>101.72713821129133</v>
      </c>
      <c r="E40" s="205">
        <v>103.3746226112749</v>
      </c>
      <c r="F40" s="205">
        <v>105.43800038650033</v>
      </c>
      <c r="G40" s="205">
        <v>107.22841128185381</v>
      </c>
      <c r="H40" s="205">
        <v>109.21562009204769</v>
      </c>
      <c r="I40" s="205">
        <v>111.11420258654621</v>
      </c>
      <c r="J40" s="205">
        <v>113.04203575839034</v>
      </c>
      <c r="K40" s="205">
        <v>115.25015842747715</v>
      </c>
      <c r="L40" s="205">
        <v>117.06826069706111</v>
      </c>
      <c r="M40" s="205">
        <v>118.47980657898738</v>
      </c>
      <c r="N40" s="206" t="s">
        <v>3</v>
      </c>
      <c r="O40" s="206" t="s">
        <v>3</v>
      </c>
    </row>
    <row r="41" spans="1:15" s="63" customFormat="1" ht="15" customHeight="1">
      <c r="A41" s="67" t="s">
        <v>117</v>
      </c>
      <c r="B41" s="140">
        <v>97.818585463700003</v>
      </c>
      <c r="C41" s="173">
        <v>99.835999999999999</v>
      </c>
      <c r="D41" s="173">
        <v>101.611</v>
      </c>
      <c r="E41" s="173">
        <v>103.202</v>
      </c>
      <c r="F41" s="173">
        <v>105.215</v>
      </c>
      <c r="G41" s="173">
        <v>106.96</v>
      </c>
      <c r="H41" s="173">
        <v>108.905</v>
      </c>
      <c r="I41" s="173">
        <v>110.76300000000001</v>
      </c>
      <c r="J41" s="173">
        <v>112.652</v>
      </c>
      <c r="K41" s="173">
        <v>114.821</v>
      </c>
      <c r="L41" s="173">
        <v>116.602</v>
      </c>
      <c r="M41" s="173">
        <v>117.98</v>
      </c>
      <c r="N41" s="51" t="s">
        <v>3</v>
      </c>
      <c r="O41" s="51" t="s">
        <v>3</v>
      </c>
    </row>
    <row r="42" spans="1:15" ht="15" customHeight="1">
      <c r="A42" s="70"/>
      <c r="B42" s="70"/>
      <c r="C42" s="153"/>
      <c r="D42" s="153"/>
      <c r="E42" s="153"/>
      <c r="F42" s="153"/>
      <c r="G42" s="153"/>
      <c r="H42" s="153"/>
      <c r="I42" s="153"/>
      <c r="J42" s="153"/>
      <c r="K42" s="153"/>
      <c r="L42" s="153"/>
      <c r="M42" s="153"/>
      <c r="N42" s="153"/>
      <c r="O42" s="153"/>
    </row>
    <row r="43" spans="1:15" ht="15" customHeight="1">
      <c r="A43" s="66"/>
      <c r="B43" s="74"/>
      <c r="C43" s="74"/>
      <c r="D43" s="74"/>
      <c r="E43" s="74"/>
      <c r="F43" s="74"/>
      <c r="G43" s="74"/>
      <c r="H43" s="74"/>
      <c r="I43" s="74"/>
      <c r="J43" s="74"/>
      <c r="K43" s="74"/>
      <c r="L43" s="74"/>
      <c r="M43" s="74"/>
    </row>
    <row r="44" spans="1:15" ht="30.75" customHeight="1">
      <c r="B44" s="215" t="s">
        <v>118</v>
      </c>
      <c r="C44" s="215"/>
      <c r="D44" s="215"/>
      <c r="E44" s="215"/>
      <c r="F44" s="215"/>
      <c r="G44" s="215"/>
      <c r="H44" s="215"/>
      <c r="I44" s="215"/>
      <c r="J44" s="215"/>
      <c r="K44" s="215"/>
      <c r="L44" s="215"/>
      <c r="M44" s="215"/>
      <c r="N44" s="75"/>
    </row>
    <row r="45" spans="1:15" ht="15" customHeight="1">
      <c r="B45" s="169"/>
      <c r="C45" s="169"/>
      <c r="D45" s="169"/>
      <c r="E45" s="169"/>
      <c r="F45" s="169"/>
      <c r="G45" s="169"/>
      <c r="H45" s="169"/>
      <c r="I45" s="169"/>
      <c r="J45" s="169"/>
      <c r="K45" s="169"/>
      <c r="L45" s="169"/>
      <c r="M45" s="169"/>
      <c r="N45" s="75"/>
    </row>
    <row r="46" spans="1:15" ht="15" customHeight="1">
      <c r="A46" s="76"/>
      <c r="B46" s="49">
        <v>2024</v>
      </c>
      <c r="C46" s="49">
        <v>2025</v>
      </c>
      <c r="D46" s="49">
        <v>2026</v>
      </c>
      <c r="E46" s="49">
        <v>2027</v>
      </c>
      <c r="F46" s="49">
        <v>2028</v>
      </c>
      <c r="G46" s="49">
        <v>2029</v>
      </c>
      <c r="H46" s="49">
        <v>2030</v>
      </c>
      <c r="I46" s="49">
        <v>2031</v>
      </c>
      <c r="J46" s="49">
        <v>2032</v>
      </c>
      <c r="K46" s="49">
        <v>2033</v>
      </c>
      <c r="L46" s="49">
        <v>2034</v>
      </c>
      <c r="M46" s="49">
        <v>2035</v>
      </c>
      <c r="N46" s="75"/>
    </row>
    <row r="47" spans="1:15" s="79" customFormat="1" ht="15" customHeight="1">
      <c r="A47" s="64" t="s">
        <v>68</v>
      </c>
      <c r="B47" s="64"/>
      <c r="C47" s="137"/>
      <c r="D47" s="137"/>
      <c r="E47" s="137"/>
      <c r="F47" s="137"/>
      <c r="G47" s="137"/>
      <c r="H47" s="137"/>
      <c r="I47" s="137"/>
      <c r="J47" s="137"/>
      <c r="K47" s="137"/>
      <c r="L47" s="137"/>
      <c r="M47" s="137"/>
      <c r="N47" s="138"/>
      <c r="O47" s="78"/>
    </row>
    <row r="48" spans="1:15" s="28" customFormat="1" ht="15" customHeight="1">
      <c r="A48" s="37" t="s">
        <v>92</v>
      </c>
      <c r="B48" s="198">
        <v>2.734</v>
      </c>
      <c r="C48" s="198">
        <v>2.1240000000000001</v>
      </c>
      <c r="D48" s="198">
        <v>1.827</v>
      </c>
      <c r="E48" s="198">
        <v>1.7629999999999999</v>
      </c>
      <c r="F48" s="198">
        <v>1.744</v>
      </c>
      <c r="G48" s="198">
        <v>1.786</v>
      </c>
      <c r="H48" s="198">
        <v>1.821</v>
      </c>
      <c r="I48" s="198">
        <v>1.8220000000000001</v>
      </c>
      <c r="J48" s="198">
        <v>1.8420000000000001</v>
      </c>
      <c r="K48" s="198">
        <v>1.8260000000000001</v>
      </c>
      <c r="L48" s="198">
        <v>1.7969999999999999</v>
      </c>
      <c r="M48" s="198">
        <v>1.76</v>
      </c>
      <c r="N48" s="80"/>
      <c r="O48" s="80"/>
    </row>
    <row r="49" spans="1:15" s="28" customFormat="1" ht="15" customHeight="1">
      <c r="A49" s="67" t="s">
        <v>117</v>
      </c>
      <c r="B49" s="139">
        <v>2.734</v>
      </c>
      <c r="C49" s="140">
        <v>2.1240000000000001</v>
      </c>
      <c r="D49" s="140">
        <v>1.827</v>
      </c>
      <c r="E49" s="140">
        <v>1.7629999999999999</v>
      </c>
      <c r="F49" s="140">
        <v>1.744</v>
      </c>
      <c r="G49" s="140">
        <v>1.786</v>
      </c>
      <c r="H49" s="140">
        <v>1.821</v>
      </c>
      <c r="I49" s="140">
        <v>1.8220000000000001</v>
      </c>
      <c r="J49" s="140">
        <v>1.8420000000000001</v>
      </c>
      <c r="K49" s="140">
        <v>1.8260000000000001</v>
      </c>
      <c r="L49" s="140">
        <v>1.7969999999999999</v>
      </c>
      <c r="M49" s="140">
        <v>1.76</v>
      </c>
      <c r="N49" s="80"/>
      <c r="O49" s="80"/>
    </row>
    <row r="50" spans="1:15" s="79" customFormat="1" ht="15" customHeight="1">
      <c r="A50" s="64" t="s">
        <v>69</v>
      </c>
      <c r="B50" s="115"/>
      <c r="C50" s="137"/>
      <c r="D50" s="137"/>
      <c r="E50" s="137"/>
      <c r="F50" s="137"/>
      <c r="G50" s="137"/>
      <c r="H50" s="137"/>
      <c r="I50" s="137"/>
      <c r="J50" s="137"/>
      <c r="K50" s="137"/>
      <c r="L50" s="137"/>
      <c r="M50" s="137"/>
      <c r="N50" s="78"/>
      <c r="O50" s="78"/>
    </row>
    <row r="51" spans="1:15" s="28" customFormat="1" ht="15" customHeight="1">
      <c r="A51" s="37" t="s">
        <v>92</v>
      </c>
      <c r="B51" s="200">
        <v>23290.9</v>
      </c>
      <c r="C51" s="200">
        <v>23785.8</v>
      </c>
      <c r="D51" s="200">
        <v>24220.5</v>
      </c>
      <c r="E51" s="200">
        <v>24647.599999999999</v>
      </c>
      <c r="F51" s="200">
        <v>25077.7</v>
      </c>
      <c r="G51" s="200">
        <v>25525.599999999999</v>
      </c>
      <c r="H51" s="200">
        <v>25990.7</v>
      </c>
      <c r="I51" s="200">
        <v>26464.3</v>
      </c>
      <c r="J51" s="200">
        <v>26952</v>
      </c>
      <c r="K51" s="200">
        <v>27444.400000000001</v>
      </c>
      <c r="L51" s="200">
        <v>27937.8</v>
      </c>
      <c r="M51" s="200">
        <v>28429.599999999999</v>
      </c>
      <c r="N51" s="80"/>
      <c r="O51" s="80"/>
    </row>
    <row r="52" spans="1:15" s="28" customFormat="1" ht="15" customHeight="1">
      <c r="A52" s="67" t="s">
        <v>117</v>
      </c>
      <c r="B52" s="141">
        <v>23290.9</v>
      </c>
      <c r="C52" s="141">
        <v>23785.8</v>
      </c>
      <c r="D52" s="141">
        <v>24220.5</v>
      </c>
      <c r="E52" s="141">
        <v>24647.599999999999</v>
      </c>
      <c r="F52" s="141">
        <v>25077.7</v>
      </c>
      <c r="G52" s="141">
        <v>25525.599999999999</v>
      </c>
      <c r="H52" s="141">
        <v>25990.7</v>
      </c>
      <c r="I52" s="141">
        <v>26464.3</v>
      </c>
      <c r="J52" s="141">
        <v>26952</v>
      </c>
      <c r="K52" s="141">
        <v>27444.400000000001</v>
      </c>
      <c r="L52" s="141">
        <v>27937.8</v>
      </c>
      <c r="M52" s="141">
        <v>28429.599999999999</v>
      </c>
      <c r="N52" s="80"/>
      <c r="O52" s="80"/>
    </row>
    <row r="53" spans="1:15" s="79" customFormat="1" ht="15" customHeight="1">
      <c r="A53" s="64" t="s">
        <v>70</v>
      </c>
      <c r="B53" s="142"/>
      <c r="C53" s="142"/>
      <c r="D53" s="142"/>
      <c r="E53" s="142"/>
      <c r="F53" s="142"/>
      <c r="G53" s="142"/>
      <c r="H53" s="142"/>
      <c r="I53" s="142"/>
      <c r="J53" s="142"/>
      <c r="K53" s="142"/>
      <c r="L53" s="142"/>
      <c r="M53" s="142"/>
      <c r="N53" s="78"/>
      <c r="O53" s="78"/>
    </row>
    <row r="54" spans="1:15" s="28" customFormat="1" ht="15" customHeight="1">
      <c r="A54" s="37" t="s">
        <v>92</v>
      </c>
      <c r="B54" s="200">
        <v>29166.2</v>
      </c>
      <c r="C54" s="200">
        <v>30441.1</v>
      </c>
      <c r="D54" s="200">
        <v>31640.6</v>
      </c>
      <c r="E54" s="200">
        <v>32841</v>
      </c>
      <c r="F54" s="200">
        <v>34078.400000000001</v>
      </c>
      <c r="G54" s="200">
        <v>35378.400000000001</v>
      </c>
      <c r="H54" s="200">
        <v>36738.800000000003</v>
      </c>
      <c r="I54" s="200">
        <v>38151.300000000003</v>
      </c>
      <c r="J54" s="200">
        <v>39626.699999999997</v>
      </c>
      <c r="K54" s="200">
        <v>41154.199999999997</v>
      </c>
      <c r="L54" s="200">
        <v>42727.6</v>
      </c>
      <c r="M54" s="200">
        <v>44345.4</v>
      </c>
      <c r="N54" s="80"/>
      <c r="O54" s="80"/>
    </row>
    <row r="55" spans="1:15" s="28" customFormat="1" ht="15" customHeight="1">
      <c r="A55" s="67" t="s">
        <v>117</v>
      </c>
      <c r="B55" s="141">
        <v>29166.2</v>
      </c>
      <c r="C55" s="68">
        <v>30470.799999999999</v>
      </c>
      <c r="D55" s="68">
        <v>31702.6</v>
      </c>
      <c r="E55" s="68">
        <v>32937.599999999999</v>
      </c>
      <c r="F55" s="68">
        <v>34212.1</v>
      </c>
      <c r="G55" s="68">
        <v>35552</v>
      </c>
      <c r="H55" s="68">
        <v>36955.300000000003</v>
      </c>
      <c r="I55" s="68">
        <v>38413.800000000003</v>
      </c>
      <c r="J55" s="68">
        <v>39938.5</v>
      </c>
      <c r="K55" s="68">
        <v>41518.699999999997</v>
      </c>
      <c r="L55" s="68">
        <v>43148.4</v>
      </c>
      <c r="M55" s="68">
        <v>44825.9</v>
      </c>
      <c r="N55" s="80"/>
      <c r="O55" s="80"/>
    </row>
    <row r="56" spans="1:15" s="79" customFormat="1" ht="15" customHeight="1">
      <c r="A56" s="64" t="s">
        <v>71</v>
      </c>
      <c r="B56" s="142"/>
      <c r="C56" s="142"/>
      <c r="D56" s="142"/>
      <c r="E56" s="142"/>
      <c r="F56" s="142"/>
      <c r="G56" s="142"/>
      <c r="H56" s="142"/>
      <c r="I56" s="142"/>
      <c r="J56" s="142"/>
      <c r="K56" s="142"/>
      <c r="L56" s="142"/>
      <c r="M56" s="142"/>
      <c r="N56" s="78"/>
      <c r="O56" s="78"/>
    </row>
    <row r="57" spans="1:15" s="28" customFormat="1" ht="15" customHeight="1">
      <c r="A57" s="37" t="s">
        <v>92</v>
      </c>
      <c r="B57" s="200">
        <v>28823</v>
      </c>
      <c r="C57" s="200">
        <v>30136.1</v>
      </c>
      <c r="D57" s="200">
        <v>31341.3</v>
      </c>
      <c r="E57" s="200">
        <v>32538.1</v>
      </c>
      <c r="F57" s="200">
        <v>33764.5</v>
      </c>
      <c r="G57" s="200">
        <v>35047.1</v>
      </c>
      <c r="H57" s="200">
        <v>36393.699999999997</v>
      </c>
      <c r="I57" s="200">
        <v>37792.1</v>
      </c>
      <c r="J57" s="200">
        <v>39252.400000000001</v>
      </c>
      <c r="K57" s="200">
        <v>40767.9</v>
      </c>
      <c r="L57" s="200">
        <v>42330.400000000001</v>
      </c>
      <c r="M57" s="200">
        <v>43936.5</v>
      </c>
      <c r="N57" s="80"/>
      <c r="O57" s="80"/>
    </row>
    <row r="58" spans="1:15" s="28" customFormat="1" ht="15" customHeight="1">
      <c r="A58" s="67" t="s">
        <v>117</v>
      </c>
      <c r="B58" s="141">
        <v>28823</v>
      </c>
      <c r="C58" s="68">
        <v>30158.400000000001</v>
      </c>
      <c r="D58" s="68">
        <v>31395.200000000001</v>
      </c>
      <c r="E58" s="68">
        <v>32626.1</v>
      </c>
      <c r="F58" s="68">
        <v>33888.9</v>
      </c>
      <c r="G58" s="68">
        <v>35210.699999999997</v>
      </c>
      <c r="H58" s="68">
        <v>36599.5</v>
      </c>
      <c r="I58" s="68">
        <v>38043.1</v>
      </c>
      <c r="J58" s="68">
        <v>39551.9</v>
      </c>
      <c r="K58" s="68">
        <v>41119.199999999997</v>
      </c>
      <c r="L58" s="68">
        <v>42737.1</v>
      </c>
      <c r="M58" s="68">
        <v>44402.1</v>
      </c>
      <c r="N58" s="80"/>
      <c r="O58" s="80"/>
    </row>
    <row r="59" spans="1:15" s="79" customFormat="1" ht="15" customHeight="1">
      <c r="A59" s="64" t="s">
        <v>72</v>
      </c>
      <c r="B59" s="115"/>
      <c r="C59" s="137"/>
      <c r="D59" s="137"/>
      <c r="E59" s="137"/>
      <c r="F59" s="137"/>
      <c r="G59" s="137"/>
      <c r="H59" s="137"/>
      <c r="I59" s="137"/>
      <c r="J59" s="137"/>
      <c r="K59" s="137"/>
      <c r="L59" s="137"/>
      <c r="M59" s="137"/>
      <c r="N59" s="78"/>
      <c r="O59" s="78"/>
    </row>
    <row r="60" spans="1:15" s="28" customFormat="1" ht="15" customHeight="1">
      <c r="A60" s="37" t="s">
        <v>92</v>
      </c>
      <c r="B60" s="198">
        <v>168.24299999999999</v>
      </c>
      <c r="C60" s="198">
        <v>170.66200000000001</v>
      </c>
      <c r="D60" s="198">
        <v>173.375</v>
      </c>
      <c r="E60" s="198">
        <v>174.006</v>
      </c>
      <c r="F60" s="198">
        <v>174.614</v>
      </c>
      <c r="G60" s="198">
        <v>175.29499999999999</v>
      </c>
      <c r="H60" s="198">
        <v>176.03</v>
      </c>
      <c r="I60" s="198">
        <v>176.80099999999999</v>
      </c>
      <c r="J60" s="198">
        <v>177.55799999999999</v>
      </c>
      <c r="K60" s="198">
        <v>178.17599999999999</v>
      </c>
      <c r="L60" s="198">
        <v>178.79499999999999</v>
      </c>
      <c r="M60" s="198">
        <v>179.386</v>
      </c>
      <c r="N60" s="80"/>
      <c r="O60" s="80"/>
    </row>
    <row r="61" spans="1:15" s="28" customFormat="1" ht="15" customHeight="1">
      <c r="A61" s="67" t="s">
        <v>117</v>
      </c>
      <c r="B61" s="139">
        <v>168.24299999999999</v>
      </c>
      <c r="C61" s="140">
        <v>170.66200000000001</v>
      </c>
      <c r="D61" s="140">
        <v>173.375</v>
      </c>
      <c r="E61" s="140">
        <v>174.006</v>
      </c>
      <c r="F61" s="140">
        <v>174.614</v>
      </c>
      <c r="G61" s="140">
        <v>175.29499999999999</v>
      </c>
      <c r="H61" s="140">
        <v>176.03</v>
      </c>
      <c r="I61" s="140">
        <v>176.80099999999999</v>
      </c>
      <c r="J61" s="140">
        <v>177.55799999999999</v>
      </c>
      <c r="K61" s="140">
        <v>178.17599999999999</v>
      </c>
      <c r="L61" s="140">
        <v>178.79499999999999</v>
      </c>
      <c r="M61" s="140">
        <v>179.386</v>
      </c>
      <c r="N61" s="80"/>
      <c r="O61" s="80"/>
    </row>
    <row r="62" spans="1:15" s="79" customFormat="1" ht="15" customHeight="1">
      <c r="A62" s="64" t="s">
        <v>73</v>
      </c>
      <c r="B62" s="115"/>
      <c r="C62" s="137"/>
      <c r="D62" s="137"/>
      <c r="E62" s="137"/>
      <c r="F62" s="137"/>
      <c r="G62" s="137"/>
      <c r="H62" s="137"/>
      <c r="I62" s="137"/>
      <c r="J62" s="137"/>
      <c r="K62" s="137"/>
      <c r="L62" s="137"/>
      <c r="M62" s="137"/>
      <c r="N62" s="78"/>
      <c r="O62" s="78"/>
    </row>
    <row r="63" spans="1:15" s="28" customFormat="1" ht="15" customHeight="1">
      <c r="A63" s="37" t="s">
        <v>92</v>
      </c>
      <c r="B63" s="196">
        <v>4.1879999999999997</v>
      </c>
      <c r="C63" s="196">
        <v>4.093</v>
      </c>
      <c r="D63" s="196">
        <v>3.9350000000000001</v>
      </c>
      <c r="E63" s="196">
        <v>3.9140000000000001</v>
      </c>
      <c r="F63" s="196">
        <v>3.8940000000000001</v>
      </c>
      <c r="G63" s="196">
        <v>3.871</v>
      </c>
      <c r="H63" s="196">
        <v>3.85</v>
      </c>
      <c r="I63" s="196">
        <v>3.8359999999999999</v>
      </c>
      <c r="J63" s="196">
        <v>3.8260000000000001</v>
      </c>
      <c r="K63" s="196">
        <v>3.8149999999999999</v>
      </c>
      <c r="L63" s="196">
        <v>3.7970000000000002</v>
      </c>
      <c r="M63" s="196">
        <v>3.7719999999999998</v>
      </c>
      <c r="N63" s="80"/>
      <c r="O63" s="80"/>
    </row>
    <row r="64" spans="1:15" s="28" customFormat="1" ht="15" customHeight="1">
      <c r="A64" s="67" t="s">
        <v>117</v>
      </c>
      <c r="B64" s="144">
        <v>4.1879999999999997</v>
      </c>
      <c r="C64" s="144">
        <v>4.1929999999999996</v>
      </c>
      <c r="D64" s="144">
        <v>4.0350000000000001</v>
      </c>
      <c r="E64" s="144">
        <v>4.0140000000000002</v>
      </c>
      <c r="F64" s="144">
        <v>3.9940000000000002</v>
      </c>
      <c r="G64" s="144">
        <v>3.9710000000000001</v>
      </c>
      <c r="H64" s="144">
        <v>3.95</v>
      </c>
      <c r="I64" s="144">
        <v>3.9359999999999999</v>
      </c>
      <c r="J64" s="144">
        <v>3.9260000000000002</v>
      </c>
      <c r="K64" s="144">
        <v>3.915</v>
      </c>
      <c r="L64" s="144">
        <v>3.8969999999999998</v>
      </c>
      <c r="M64" s="144">
        <v>3.8719999999999999</v>
      </c>
      <c r="N64" s="80"/>
      <c r="O64" s="175"/>
    </row>
    <row r="65" spans="1:15" s="79" customFormat="1" ht="15" customHeight="1">
      <c r="A65" s="64" t="s">
        <v>81</v>
      </c>
      <c r="B65" s="115"/>
      <c r="C65" s="142"/>
      <c r="D65" s="142"/>
      <c r="E65" s="142"/>
      <c r="F65" s="142"/>
      <c r="G65" s="142"/>
      <c r="H65" s="142"/>
      <c r="I65" s="142"/>
      <c r="J65" s="142"/>
      <c r="K65" s="142"/>
      <c r="L65" s="142"/>
      <c r="M65" s="142"/>
      <c r="N65" s="78"/>
      <c r="O65" s="78"/>
    </row>
    <row r="66" spans="1:15" s="28" customFormat="1" ht="15" customHeight="1">
      <c r="A66" s="37" t="s">
        <v>92</v>
      </c>
      <c r="B66" s="198">
        <v>2.4129999999999998</v>
      </c>
      <c r="C66" s="198">
        <v>2.198</v>
      </c>
      <c r="D66" s="198">
        <v>2.0750000000000002</v>
      </c>
      <c r="E66" s="198">
        <v>1.9950000000000001</v>
      </c>
      <c r="F66" s="198">
        <v>1.988</v>
      </c>
      <c r="G66" s="198">
        <v>1.992</v>
      </c>
      <c r="H66" s="198">
        <v>1.9870000000000001</v>
      </c>
      <c r="I66" s="198">
        <v>1.986</v>
      </c>
      <c r="J66" s="198">
        <v>1.9870000000000001</v>
      </c>
      <c r="K66" s="198">
        <v>1.9910000000000001</v>
      </c>
      <c r="L66" s="198">
        <v>1.9890000000000001</v>
      </c>
      <c r="M66" s="198">
        <v>1.99</v>
      </c>
      <c r="N66" s="80"/>
      <c r="O66" s="80"/>
    </row>
    <row r="67" spans="1:15" s="28" customFormat="1" ht="15" customHeight="1">
      <c r="A67" s="67" t="s">
        <v>117</v>
      </c>
      <c r="B67" s="139">
        <v>2.4129999999999998</v>
      </c>
      <c r="C67" s="82">
        <v>2.298</v>
      </c>
      <c r="D67" s="82">
        <v>2.1749999999999998</v>
      </c>
      <c r="E67" s="82">
        <v>2.0950000000000002</v>
      </c>
      <c r="F67" s="82">
        <v>2.0880000000000001</v>
      </c>
      <c r="G67" s="82">
        <v>2.0920000000000001</v>
      </c>
      <c r="H67" s="82">
        <v>2.0870000000000002</v>
      </c>
      <c r="I67" s="82">
        <v>2.0859999999999999</v>
      </c>
      <c r="J67" s="82">
        <v>2.0870000000000002</v>
      </c>
      <c r="K67" s="82">
        <v>2.0910000000000002</v>
      </c>
      <c r="L67" s="82">
        <v>2.089</v>
      </c>
      <c r="M67" s="82">
        <v>2.09</v>
      </c>
      <c r="N67" s="80"/>
      <c r="O67" s="80"/>
    </row>
    <row r="68" spans="1:15" s="79" customFormat="1" ht="15" customHeight="1">
      <c r="A68" s="64" t="s">
        <v>75</v>
      </c>
      <c r="B68" s="115"/>
      <c r="C68" s="142"/>
      <c r="D68" s="142"/>
      <c r="E68" s="142"/>
      <c r="F68" s="142"/>
      <c r="G68" s="142"/>
      <c r="H68" s="142"/>
      <c r="I68" s="142"/>
      <c r="J68" s="142"/>
      <c r="K68" s="142"/>
      <c r="L68" s="142"/>
      <c r="M68" s="142"/>
      <c r="N68" s="78"/>
      <c r="O68" s="78"/>
    </row>
    <row r="69" spans="1:15" s="28" customFormat="1" ht="15" customHeight="1">
      <c r="A69" s="37" t="s">
        <v>92</v>
      </c>
      <c r="B69" s="198">
        <v>125.223</v>
      </c>
      <c r="C69" s="198">
        <v>127.976</v>
      </c>
      <c r="D69" s="198">
        <v>130.631</v>
      </c>
      <c r="E69" s="198">
        <v>133.238</v>
      </c>
      <c r="F69" s="198">
        <v>135.887</v>
      </c>
      <c r="G69" s="198">
        <v>138.595</v>
      </c>
      <c r="H69" s="198">
        <v>141.34899999999999</v>
      </c>
      <c r="I69" s="198">
        <v>144.15700000000001</v>
      </c>
      <c r="J69" s="198">
        <v>147.023</v>
      </c>
      <c r="K69" s="198">
        <v>149.94999999999999</v>
      </c>
      <c r="L69" s="198">
        <v>152.934</v>
      </c>
      <c r="M69" s="198">
        <v>155.97900000000001</v>
      </c>
      <c r="N69" s="80"/>
      <c r="O69" s="80"/>
    </row>
    <row r="70" spans="1:15" s="28" customFormat="1" ht="15" customHeight="1">
      <c r="A70" s="67" t="s">
        <v>117</v>
      </c>
      <c r="B70" s="139">
        <v>125.223</v>
      </c>
      <c r="C70" s="82">
        <v>128.101</v>
      </c>
      <c r="D70" s="82">
        <v>130.887</v>
      </c>
      <c r="E70" s="82">
        <v>133.63</v>
      </c>
      <c r="F70" s="82">
        <v>136.41999999999999</v>
      </c>
      <c r="G70" s="82">
        <v>139.27500000000001</v>
      </c>
      <c r="H70" s="82">
        <v>142.18199999999999</v>
      </c>
      <c r="I70" s="82">
        <v>145.149</v>
      </c>
      <c r="J70" s="82">
        <v>148.18</v>
      </c>
      <c r="K70" s="82">
        <v>151.27799999999999</v>
      </c>
      <c r="L70" s="82">
        <v>154.44</v>
      </c>
      <c r="M70" s="82">
        <v>157.66900000000001</v>
      </c>
      <c r="N70" s="80"/>
      <c r="O70" s="80"/>
    </row>
    <row r="71" spans="1:15" s="79" customFormat="1" ht="15" customHeight="1">
      <c r="A71" s="64" t="s">
        <v>82</v>
      </c>
      <c r="B71" s="115"/>
      <c r="C71" s="142"/>
      <c r="D71" s="142"/>
      <c r="E71" s="142"/>
      <c r="F71" s="142"/>
      <c r="G71" s="142"/>
      <c r="H71" s="142"/>
      <c r="I71" s="142"/>
      <c r="J71" s="142"/>
      <c r="K71" s="142"/>
      <c r="L71" s="142"/>
      <c r="M71" s="142"/>
      <c r="N71" s="78"/>
      <c r="O71" s="78"/>
    </row>
    <row r="72" spans="1:15" s="28" customFormat="1" ht="15" customHeight="1">
      <c r="A72" s="37" t="s">
        <v>92</v>
      </c>
      <c r="B72" s="198">
        <v>168.291</v>
      </c>
      <c r="C72" s="198">
        <v>174.15600000000001</v>
      </c>
      <c r="D72" s="198">
        <v>180</v>
      </c>
      <c r="E72" s="198">
        <v>185.768</v>
      </c>
      <c r="F72" s="198">
        <v>191.52600000000001</v>
      </c>
      <c r="G72" s="198">
        <v>197.32499999999999</v>
      </c>
      <c r="H72" s="198">
        <v>203.21299999999999</v>
      </c>
      <c r="I72" s="198">
        <v>209.221</v>
      </c>
      <c r="J72" s="198">
        <v>215.381</v>
      </c>
      <c r="K72" s="198">
        <v>221.71600000000001</v>
      </c>
      <c r="L72" s="198">
        <v>228.22499999999999</v>
      </c>
      <c r="M72" s="198">
        <v>234.91</v>
      </c>
      <c r="N72" s="80"/>
      <c r="O72" s="80"/>
    </row>
    <row r="73" spans="1:15" s="28" customFormat="1" ht="15" customHeight="1">
      <c r="A73" s="67" t="s">
        <v>117</v>
      </c>
      <c r="B73" s="139">
        <v>168.291</v>
      </c>
      <c r="C73" s="82">
        <v>174.32400000000001</v>
      </c>
      <c r="D73" s="82">
        <v>180.34800000000001</v>
      </c>
      <c r="E73" s="82">
        <v>186.30699999999999</v>
      </c>
      <c r="F73" s="82">
        <v>192.268</v>
      </c>
      <c r="G73" s="82">
        <v>198.28200000000001</v>
      </c>
      <c r="H73" s="82">
        <v>204.39699999999999</v>
      </c>
      <c r="I73" s="82">
        <v>210.64400000000001</v>
      </c>
      <c r="J73" s="82">
        <v>217.05699999999999</v>
      </c>
      <c r="K73" s="82">
        <v>223.65799999999999</v>
      </c>
      <c r="L73" s="82">
        <v>230.44800000000001</v>
      </c>
      <c r="M73" s="82">
        <v>237.429</v>
      </c>
      <c r="N73" s="80"/>
      <c r="O73" s="80"/>
    </row>
    <row r="74" spans="1:15" ht="15" customHeight="1">
      <c r="A74" s="41"/>
      <c r="B74" s="41"/>
      <c r="C74" s="145"/>
      <c r="D74" s="145"/>
      <c r="E74" s="145"/>
      <c r="F74" s="145"/>
      <c r="G74" s="145"/>
      <c r="H74" s="145"/>
      <c r="I74" s="145"/>
      <c r="J74" s="145"/>
      <c r="K74" s="145"/>
      <c r="L74" s="145"/>
      <c r="M74" s="145"/>
      <c r="N74" s="146"/>
      <c r="O74" s="146"/>
    </row>
    <row r="75" spans="1:15" ht="15" customHeight="1">
      <c r="A75" s="74"/>
      <c r="B75" s="74"/>
      <c r="C75" s="74"/>
      <c r="D75" s="74"/>
      <c r="E75" s="74"/>
      <c r="F75" s="74"/>
      <c r="G75" s="74"/>
      <c r="H75" s="74"/>
      <c r="I75" s="74"/>
      <c r="J75" s="74"/>
      <c r="K75" s="74"/>
      <c r="L75" s="74"/>
      <c r="M75" s="74"/>
      <c r="N75" s="110"/>
      <c r="O75" s="110"/>
    </row>
    <row r="76" spans="1:15" ht="15" customHeight="1">
      <c r="A76" s="217" t="s">
        <v>32</v>
      </c>
      <c r="B76" s="217"/>
      <c r="C76" s="217"/>
      <c r="D76" s="217"/>
      <c r="E76" s="217"/>
      <c r="F76" s="217"/>
      <c r="G76" s="217"/>
      <c r="H76" s="217"/>
      <c r="I76" s="217"/>
      <c r="J76" s="217"/>
      <c r="K76" s="217"/>
      <c r="L76" s="217"/>
      <c r="M76" s="217"/>
      <c r="N76" s="136"/>
      <c r="O76" s="136"/>
    </row>
    <row r="77" spans="1:15" s="63" customFormat="1" ht="15" customHeight="1">
      <c r="A77" s="170"/>
      <c r="B77" s="170"/>
      <c r="C77" s="170"/>
      <c r="D77" s="170"/>
      <c r="E77" s="170"/>
      <c r="F77" s="170"/>
      <c r="G77" s="170"/>
      <c r="H77" s="170"/>
      <c r="I77" s="170"/>
      <c r="J77" s="170"/>
      <c r="K77" s="170"/>
      <c r="L77" s="170"/>
      <c r="M77" s="170"/>
      <c r="N77" s="95"/>
      <c r="O77" s="95"/>
    </row>
    <row r="78" spans="1:15" s="4" customFormat="1" ht="15" customHeight="1">
      <c r="A78" s="216" t="s">
        <v>24</v>
      </c>
      <c r="B78" s="216"/>
      <c r="C78" s="216"/>
      <c r="D78" s="216"/>
      <c r="E78" s="216"/>
      <c r="F78" s="216"/>
      <c r="G78" s="216"/>
      <c r="H78" s="216"/>
      <c r="I78" s="216"/>
      <c r="J78" s="216"/>
      <c r="K78" s="216"/>
      <c r="L78" s="216"/>
      <c r="M78" s="216"/>
      <c r="N78" s="96"/>
      <c r="O78" s="96"/>
    </row>
    <row r="79" spans="1:15" s="4" customFormat="1" ht="15" customHeight="1">
      <c r="A79" s="93"/>
      <c r="B79" s="54"/>
      <c r="C79" s="54"/>
      <c r="D79" s="54"/>
      <c r="E79" s="54"/>
      <c r="F79" s="54"/>
      <c r="G79" s="54"/>
      <c r="H79" s="54"/>
      <c r="I79" s="54"/>
      <c r="J79" s="54"/>
      <c r="K79" s="54"/>
      <c r="L79" s="54"/>
      <c r="M79" s="54"/>
      <c r="N79" s="94"/>
      <c r="O79" s="94"/>
    </row>
    <row r="80" spans="1:15" s="4" customFormat="1" ht="15" customHeight="1">
      <c r="A80" s="212" t="s">
        <v>25</v>
      </c>
      <c r="B80" s="212"/>
      <c r="C80" s="212"/>
      <c r="D80" s="212"/>
      <c r="E80" s="212"/>
      <c r="F80" s="212"/>
      <c r="G80" s="212"/>
      <c r="H80" s="212"/>
      <c r="I80" s="212"/>
      <c r="J80" s="212"/>
      <c r="K80" s="212"/>
      <c r="L80" s="212"/>
      <c r="M80" s="212"/>
      <c r="N80" s="93"/>
      <c r="O80" s="93"/>
    </row>
    <row r="81" spans="1:15" ht="15" customHeight="1">
      <c r="A81" s="74"/>
      <c r="B81" s="74"/>
      <c r="C81" s="74"/>
      <c r="D81" s="74"/>
      <c r="E81" s="74"/>
      <c r="F81" s="74"/>
      <c r="G81" s="74"/>
      <c r="H81" s="74"/>
      <c r="I81" s="74"/>
      <c r="J81" s="74"/>
      <c r="K81" s="74"/>
      <c r="L81" s="74"/>
      <c r="M81" s="74"/>
      <c r="N81" s="110"/>
      <c r="O81" s="110"/>
    </row>
    <row r="82" spans="1:15" ht="15" customHeight="1">
      <c r="A82" s="212" t="s">
        <v>20</v>
      </c>
      <c r="B82" s="212"/>
      <c r="C82" s="212"/>
      <c r="D82" s="212"/>
      <c r="E82" s="212"/>
      <c r="F82" s="212"/>
      <c r="G82" s="212"/>
      <c r="H82" s="212"/>
      <c r="I82" s="212"/>
      <c r="J82" s="212"/>
      <c r="K82" s="212"/>
      <c r="L82" s="212"/>
      <c r="M82" s="212"/>
      <c r="N82" s="74"/>
      <c r="O82" s="74"/>
    </row>
    <row r="83" spans="1:15" ht="15" customHeight="1">
      <c r="A83" s="136"/>
      <c r="B83" s="136"/>
      <c r="C83" s="74"/>
      <c r="D83" s="74"/>
      <c r="E83" s="74"/>
      <c r="F83" s="74"/>
      <c r="G83" s="74"/>
      <c r="H83" s="74"/>
      <c r="I83" s="74"/>
      <c r="J83" s="74"/>
      <c r="K83" s="74"/>
      <c r="L83" s="74"/>
      <c r="M83" s="74"/>
      <c r="N83" s="110"/>
      <c r="O83" s="110"/>
    </row>
    <row r="84" spans="1:15" s="4" customFormat="1" ht="15" customHeight="1">
      <c r="A84" s="216" t="s">
        <v>54</v>
      </c>
      <c r="B84" s="216"/>
      <c r="C84" s="216"/>
      <c r="D84" s="216"/>
      <c r="E84" s="216"/>
      <c r="F84" s="216"/>
      <c r="G84" s="216"/>
      <c r="H84" s="216"/>
      <c r="I84" s="216"/>
      <c r="J84" s="216"/>
      <c r="K84" s="216"/>
      <c r="L84" s="216"/>
      <c r="M84" s="216"/>
      <c r="N84" s="96"/>
      <c r="O84" s="96"/>
    </row>
    <row r="85" spans="1:15" ht="15" customHeight="1">
      <c r="A85" s="160"/>
      <c r="B85" s="160"/>
      <c r="C85" s="160"/>
      <c r="D85" s="160"/>
      <c r="E85" s="160"/>
      <c r="F85" s="160"/>
      <c r="G85" s="160"/>
      <c r="H85" s="160"/>
      <c r="I85" s="160"/>
      <c r="J85" s="160"/>
      <c r="K85" s="160"/>
      <c r="L85" s="160"/>
      <c r="M85" s="160"/>
      <c r="N85" s="160"/>
      <c r="O85" s="160"/>
    </row>
    <row r="86" spans="1:15" s="4" customFormat="1" ht="15" customHeight="1">
      <c r="A86" s="212" t="s">
        <v>17</v>
      </c>
      <c r="B86" s="212"/>
      <c r="C86" s="212"/>
      <c r="D86" s="212"/>
      <c r="E86" s="212"/>
      <c r="F86" s="212"/>
      <c r="G86" s="212"/>
      <c r="H86" s="212"/>
      <c r="I86" s="212"/>
      <c r="J86" s="212"/>
      <c r="K86" s="212"/>
      <c r="L86" s="212"/>
      <c r="M86" s="212"/>
      <c r="N86" s="98"/>
      <c r="O86" s="98"/>
    </row>
    <row r="87" spans="1:15" s="4" customFormat="1" ht="15" customHeight="1">
      <c r="A87" s="93"/>
      <c r="B87" s="97"/>
      <c r="C87" s="97"/>
      <c r="D87" s="97"/>
      <c r="E87" s="97"/>
      <c r="F87" s="97"/>
      <c r="G87" s="97"/>
      <c r="H87" s="97"/>
      <c r="I87" s="97"/>
      <c r="J87" s="97"/>
      <c r="K87" s="97"/>
      <c r="L87" s="97"/>
      <c r="M87" s="97"/>
      <c r="N87" s="98"/>
      <c r="O87" s="98"/>
    </row>
    <row r="88" spans="1:15" s="4" customFormat="1" ht="15" customHeight="1">
      <c r="A88" s="212" t="s">
        <v>8</v>
      </c>
      <c r="B88" s="212"/>
      <c r="C88" s="212"/>
      <c r="D88" s="212"/>
      <c r="E88" s="212"/>
      <c r="F88" s="212"/>
      <c r="G88" s="212"/>
      <c r="H88" s="212"/>
      <c r="I88" s="212"/>
      <c r="J88" s="212"/>
      <c r="K88" s="212"/>
      <c r="L88" s="212"/>
      <c r="M88" s="212"/>
      <c r="N88" s="93"/>
      <c r="O88" s="93"/>
    </row>
    <row r="89" spans="1:15" ht="15" customHeight="1">
      <c r="A89" s="161"/>
      <c r="B89" s="161"/>
      <c r="C89" s="154"/>
      <c r="D89" s="154"/>
      <c r="E89" s="154"/>
      <c r="F89" s="154"/>
      <c r="G89" s="154"/>
      <c r="H89" s="154"/>
      <c r="I89" s="154"/>
      <c r="J89" s="154"/>
      <c r="K89" s="154"/>
      <c r="L89" s="154"/>
      <c r="M89" s="154"/>
      <c r="N89" s="122"/>
      <c r="O89" s="122"/>
    </row>
    <row r="90" spans="1:15" ht="15" customHeight="1">
      <c r="A90" s="74"/>
      <c r="B90" s="74"/>
      <c r="C90" s="74"/>
      <c r="D90" s="74"/>
      <c r="E90" s="74"/>
      <c r="F90" s="74"/>
      <c r="G90" s="74"/>
      <c r="H90" s="74"/>
      <c r="I90" s="74"/>
      <c r="J90" s="74"/>
      <c r="K90" s="74"/>
      <c r="L90" s="74"/>
      <c r="M90" s="74"/>
      <c r="N90" s="110"/>
      <c r="O90" s="110"/>
    </row>
    <row r="91" spans="1:15" ht="15" customHeight="1">
      <c r="A91" s="110"/>
      <c r="B91" s="110"/>
      <c r="C91" s="110"/>
      <c r="D91" s="110"/>
      <c r="E91" s="110"/>
      <c r="F91" s="110"/>
      <c r="G91" s="110"/>
      <c r="H91" s="110"/>
      <c r="I91" s="110"/>
      <c r="J91" s="110"/>
      <c r="K91" s="110"/>
      <c r="L91" s="110"/>
      <c r="M91" s="110"/>
      <c r="N91" s="110"/>
      <c r="O91" s="110"/>
    </row>
  </sheetData>
  <sheetProtection sheet="1" objects="1" scenarios="1"/>
  <mergeCells count="11">
    <mergeCell ref="A5:O5"/>
    <mergeCell ref="C8:L8"/>
    <mergeCell ref="N8:O8"/>
    <mergeCell ref="B44:M44"/>
    <mergeCell ref="A88:M88"/>
    <mergeCell ref="A86:M86"/>
    <mergeCell ref="A82:M82"/>
    <mergeCell ref="A78:M78"/>
    <mergeCell ref="A76:M76"/>
    <mergeCell ref="A80:M80"/>
    <mergeCell ref="A84:M84"/>
  </mergeCells>
  <hyperlinks>
    <hyperlink ref="A2" r:id="rId1" display="https://www.cbo.gov/publication/61198" xr:uid="{6113D780-FD9D-4540-9418-130B4A0FAE29}"/>
  </hyperlinks>
  <pageMargins left="0.75" right="0.75" top="1" bottom="1" header="0.5" footer="0.5"/>
  <pageSetup scale="75"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1. Productivity</vt:lpstr>
      <vt:lpstr>2. Labor Force</vt:lpstr>
      <vt:lpstr>3. Interest Rates</vt:lpstr>
      <vt:lpstr>4. Inflation and Interest</vt:lpstr>
      <vt:lpstr>5. Productivity_CBO</vt:lpstr>
      <vt:lpstr>6. Labor Force_CBO</vt:lpstr>
      <vt:lpstr>7. Interest Rates_CBO</vt:lpstr>
      <vt:lpstr>8. Inflation and Interest_CBO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2025-10-31T22:48:13Z</dcterms:modified>
</cp:coreProperties>
</file>